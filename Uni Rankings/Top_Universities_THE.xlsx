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stefan/Downloads/"/>
    </mc:Choice>
  </mc:AlternateContent>
  <xr:revisionPtr revIDLastSave="0" documentId="13_ncr:1_{70BFD7AA-9CBB-0D4A-A73A-8DE60FEC76F3}" xr6:coauthVersionLast="47" xr6:coauthVersionMax="47" xr10:uidLastSave="{00000000-0000-0000-0000-000000000000}"/>
  <bookViews>
    <workbookView xWindow="0" yWindow="700" windowWidth="18360" windowHeight="15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1" i="1" l="1"/>
  <c r="B200" i="1"/>
  <c r="B199" i="1"/>
  <c r="B198" i="1"/>
  <c r="B197" i="1"/>
  <c r="B195" i="1"/>
  <c r="B194" i="1"/>
  <c r="B193" i="1"/>
  <c r="B192" i="1"/>
  <c r="B191" i="1"/>
  <c r="B190" i="1"/>
  <c r="B188" i="1"/>
  <c r="B187" i="1"/>
  <c r="B186" i="1"/>
  <c r="B185" i="1"/>
  <c r="B184" i="1"/>
  <c r="B183" i="1"/>
  <c r="B182" i="1"/>
  <c r="B181" i="1"/>
  <c r="B178" i="1"/>
  <c r="B177" i="1"/>
  <c r="B175" i="1"/>
  <c r="B174" i="1"/>
  <c r="B173" i="1"/>
  <c r="B171" i="1"/>
  <c r="B170" i="1"/>
  <c r="B169" i="1"/>
  <c r="B168" i="1"/>
  <c r="B167" i="1"/>
  <c r="B166" i="1"/>
  <c r="B165" i="1"/>
  <c r="B164" i="1"/>
  <c r="B162" i="1"/>
  <c r="B161" i="1"/>
  <c r="B159" i="1"/>
  <c r="B158" i="1"/>
  <c r="B157" i="1"/>
  <c r="B156" i="1"/>
  <c r="B155" i="1"/>
  <c r="B154" i="1"/>
  <c r="B153" i="1"/>
  <c r="B151" i="1"/>
  <c r="B150" i="1"/>
  <c r="B149" i="1"/>
  <c r="B148" i="1"/>
  <c r="B147" i="1"/>
  <c r="B146" i="1"/>
  <c r="B145" i="1"/>
  <c r="B144" i="1"/>
  <c r="B143" i="1"/>
  <c r="B142" i="1"/>
  <c r="B139" i="1"/>
  <c r="B138" i="1"/>
  <c r="B137" i="1"/>
  <c r="B136" i="1"/>
  <c r="B135" i="1"/>
  <c r="B134" i="1"/>
  <c r="B133" i="1"/>
  <c r="B132" i="1"/>
  <c r="B131" i="1"/>
  <c r="B130" i="1"/>
  <c r="B129" i="1"/>
  <c r="B120" i="1"/>
  <c r="B119" i="1"/>
  <c r="B118" i="1"/>
  <c r="B117" i="1"/>
  <c r="B115" i="1"/>
  <c r="B114" i="1"/>
  <c r="B113" i="1"/>
  <c r="B112" i="1"/>
  <c r="B111" i="1"/>
  <c r="B110" i="1"/>
  <c r="B109" i="1"/>
  <c r="B108" i="1"/>
  <c r="B106" i="1"/>
  <c r="B105" i="1"/>
  <c r="B104" i="1"/>
  <c r="B103" i="1"/>
  <c r="B102" i="1"/>
  <c r="B101" i="1"/>
  <c r="B100" i="1"/>
  <c r="B99" i="1"/>
  <c r="B97" i="1"/>
  <c r="B96" i="1"/>
  <c r="B95" i="1"/>
  <c r="B94" i="1"/>
  <c r="B92" i="1"/>
  <c r="B91" i="1"/>
  <c r="B89" i="1"/>
  <c r="B88" i="1"/>
  <c r="B87" i="1"/>
  <c r="B86" i="1"/>
  <c r="B85" i="1"/>
  <c r="B82" i="1"/>
  <c r="B75" i="1"/>
  <c r="B74" i="1"/>
  <c r="B69" i="1"/>
  <c r="B68" i="1"/>
  <c r="B64" i="1"/>
  <c r="B63" i="1"/>
  <c r="B61" i="1"/>
  <c r="B60" i="1"/>
  <c r="B59" i="1"/>
  <c r="B58" i="1"/>
  <c r="B57" i="1"/>
  <c r="B55" i="1"/>
  <c r="B54" i="1"/>
  <c r="B52" i="1"/>
  <c r="B51" i="1"/>
  <c r="B49" i="1"/>
  <c r="B48" i="1"/>
  <c r="B38" i="1"/>
  <c r="B37" i="1"/>
  <c r="B24" i="1"/>
  <c r="B23" i="1"/>
  <c r="B20" i="1"/>
  <c r="B19" i="1"/>
  <c r="B16" i="1"/>
  <c r="B15" i="1"/>
</calcChain>
</file>

<file path=xl/sharedStrings.xml><?xml version="1.0" encoding="utf-8"?>
<sst xmlns="http://schemas.openxmlformats.org/spreadsheetml/2006/main" count="413" uniqueCount="242">
  <si>
    <t>Rank</t>
  </si>
  <si>
    <t>Dense Rank</t>
  </si>
  <si>
    <t>University Name</t>
  </si>
  <si>
    <t>Location</t>
  </si>
  <si>
    <t>Overall Score</t>
  </si>
  <si>
    <t>Teaching</t>
  </si>
  <si>
    <t>Research Environment</t>
  </si>
  <si>
    <t>Research Quality</t>
  </si>
  <si>
    <t>Industry</t>
  </si>
  <si>
    <t>International Outlook</t>
  </si>
  <si>
    <t>No. of FTE Students</t>
  </si>
  <si>
    <t>No. of Students per Staff</t>
  </si>
  <si>
    <t>International Students</t>
  </si>
  <si>
    <t>University of Oxford</t>
  </si>
  <si>
    <t>United Kingdom</t>
  </si>
  <si>
    <t>Massachusetts Institute of Technology</t>
  </si>
  <si>
    <t>United States</t>
  </si>
  <si>
    <t>Harvard University</t>
  </si>
  <si>
    <t>Princeton University</t>
  </si>
  <si>
    <t>University of Cambridge</t>
  </si>
  <si>
    <t>Stanford University</t>
  </si>
  <si>
    <t>California Institute of Technology</t>
  </si>
  <si>
    <t>University of California Berkeley</t>
  </si>
  <si>
    <t>Imperial College London</t>
  </si>
  <si>
    <t>Yale University</t>
  </si>
  <si>
    <t>ETH Zurich</t>
  </si>
  <si>
    <t>Switzerland</t>
  </si>
  <si>
    <t>Tsinghua University</t>
  </si>
  <si>
    <t>China</t>
  </si>
  <si>
    <t>Peking University</t>
  </si>
  <si>
    <t>The University of Chicago</t>
  </si>
  <si>
    <t>University of Pennsylvania</t>
  </si>
  <si>
    <t>Johns Hopkins University</t>
  </si>
  <si>
    <t>National University of Singapore</t>
  </si>
  <si>
    <t>Singapore</t>
  </si>
  <si>
    <t>Columbia University</t>
  </si>
  <si>
    <t>University of California Los Angeles</t>
  </si>
  <si>
    <t>Cornell University</t>
  </si>
  <si>
    <t>University of Toronto</t>
  </si>
  <si>
    <t>Canada</t>
  </si>
  <si>
    <t>UCL</t>
  </si>
  <si>
    <t>University of Michigan-Ann Arbor</t>
  </si>
  <si>
    <t>Carnegie Mellon University</t>
  </si>
  <si>
    <t>University of Washington</t>
  </si>
  <si>
    <t>Technical University of Munich</t>
  </si>
  <si>
    <t>Germany</t>
  </si>
  <si>
    <t>Duke University</t>
  </si>
  <si>
    <t>The University of Tokyo</t>
  </si>
  <si>
    <t>Japan</t>
  </si>
  <si>
    <t>University of Edinburgh</t>
  </si>
  <si>
    <t>Nanyang Technological University Singapore</t>
  </si>
  <si>
    <t>Northwestern University</t>
  </si>
  <si>
    <t>École Polytechnique Fédérale de Lausanne</t>
  </si>
  <si>
    <t>New York University</t>
  </si>
  <si>
    <t>University of California San Diego</t>
  </si>
  <si>
    <t>University of Hong Kong</t>
  </si>
  <si>
    <t>Hong Kong</t>
  </si>
  <si>
    <t>Fudan University</t>
  </si>
  <si>
    <t>King’s College London</t>
  </si>
  <si>
    <t>LMU Munich</t>
  </si>
  <si>
    <t>University of Melbourne</t>
  </si>
  <si>
    <t>Australia</t>
  </si>
  <si>
    <t>Georgia Institute of Technology</t>
  </si>
  <si>
    <t>University of British Columbia</t>
  </si>
  <si>
    <t>Paris Sciences et Lettres – PSL Research University Paris</t>
  </si>
  <si>
    <t>France</t>
  </si>
  <si>
    <t>KU Leuven</t>
  </si>
  <si>
    <t>Belgium</t>
  </si>
  <si>
    <t>The Chinese University of Hong Kong</t>
  </si>
  <si>
    <t>McGill University</t>
  </si>
  <si>
    <t>University of Illinois at Urbana-Champaign</t>
  </si>
  <si>
    <t>Universität Heidelberg</t>
  </si>
  <si>
    <t>Zhejiang University</t>
  </si>
  <si>
    <t>Karolinska Institute</t>
  </si>
  <si>
    <t>Sweden</t>
  </si>
  <si>
    <t>London School of Economics and Political Science</t>
  </si>
  <si>
    <t>University of Texas at Austin</t>
  </si>
  <si>
    <t>Shanghai Jiao Tong University</t>
  </si>
  <si>
    <t>University of Manchester</t>
  </si>
  <si>
    <t>University of Science and Technology of China</t>
  </si>
  <si>
    <t>Kyoto University</t>
  </si>
  <si>
    <t>Delft University of Technology</t>
  </si>
  <si>
    <t>Netherlands</t>
  </si>
  <si>
    <t>University of Wisconsin-Madison</t>
  </si>
  <si>
    <t>Brown University</t>
  </si>
  <si>
    <t>Monash University</t>
  </si>
  <si>
    <t>University of Amsterdam</t>
  </si>
  <si>
    <t>The University of Sydney</t>
  </si>
  <si>
    <t>Seoul National University</t>
  </si>
  <si>
    <t>South Korea</t>
  </si>
  <si>
    <t>University of California Davis</t>
  </si>
  <si>
    <t>Université Paris-Saclay</t>
  </si>
  <si>
    <t>Nanjing University</t>
  </si>
  <si>
    <t>The Hong Kong University of Science and Technology</t>
  </si>
  <si>
    <t>University of California Santa Barbara</t>
  </si>
  <si>
    <t>Wageningen University &amp; Research</t>
  </si>
  <si>
    <t>Washington University in St Louis</t>
  </si>
  <si>
    <t>University of North Carolina at Chapel Hill</t>
  </si>
  <si>
    <t>Institut Polytechnique de Paris</t>
  </si>
  <si>
    <t>University of Southern California</t>
  </si>
  <si>
    <t>Australian National University</t>
  </si>
  <si>
    <t>Leiden University</t>
  </si>
  <si>
    <t>Boston University</t>
  </si>
  <si>
    <t>Sorbonne University</t>
  </si>
  <si>
    <t>The University of Queensland</t>
  </si>
  <si>
    <t>City University of Hong Kong</t>
  </si>
  <si>
    <t>University of Bristol</t>
  </si>
  <si>
    <t>Purdue University West Lafayette</t>
  </si>
  <si>
    <t>University of Groningen</t>
  </si>
  <si>
    <t>Korea Advanced Institute of Science and Technology (KAIST)</t>
  </si>
  <si>
    <t>UNSW Sydney</t>
  </si>
  <si>
    <t>Humboldt University of Berlin</t>
  </si>
  <si>
    <t>The Hong Kong Polytechnic University</t>
  </si>
  <si>
    <t>University of Massachusetts</t>
  </si>
  <si>
    <t>University of Glasgow</t>
  </si>
  <si>
    <t>University of Minnesota</t>
  </si>
  <si>
    <t>University of Bonn</t>
  </si>
  <si>
    <t>University of California Irvine</t>
  </si>
  <si>
    <t>Vanderbilt University</t>
  </si>
  <si>
    <t>RWTH Aachen University</t>
  </si>
  <si>
    <t>Charité - Universitätsmedizin Berlin</t>
  </si>
  <si>
    <t>University of Birmingham</t>
  </si>
  <si>
    <t>KTH Royal Institute of Technology</t>
  </si>
  <si>
    <t>Lund University</t>
  </si>
  <si>
    <t>University of Copenhagen</t>
  </si>
  <si>
    <t>Denmark</t>
  </si>
  <si>
    <t>Emory University</t>
  </si>
  <si>
    <t>University of Sheffield</t>
  </si>
  <si>
    <t>Penn State (Main campus)</t>
  </si>
  <si>
    <t>University of Tübingen</t>
  </si>
  <si>
    <t>Sungkyunkwan University (SKKU)</t>
  </si>
  <si>
    <t>Yonsei University (Seoul campus)</t>
  </si>
  <si>
    <t>Free University of Berlin</t>
  </si>
  <si>
    <t>University of Bern</t>
  </si>
  <si>
    <t>University of Warwick</t>
  </si>
  <si>
    <t>Erasmus University Rotterdam</t>
  </si>
  <si>
    <t>Lomonosov Moscow State University</t>
  </si>
  <si>
    <t>Russia</t>
  </si>
  <si>
    <t>University of Helsinki</t>
  </si>
  <si>
    <t>Finland</t>
  </si>
  <si>
    <t>Aarhus University</t>
  </si>
  <si>
    <t>University of Vienna</t>
  </si>
  <si>
    <t>Austria</t>
  </si>
  <si>
    <t>Ghent University</t>
  </si>
  <si>
    <t>Rice University</t>
  </si>
  <si>
    <t>University of Maryland College Park</t>
  </si>
  <si>
    <t>University of Southampton</t>
  </si>
  <si>
    <t>McMaster University</t>
  </si>
  <si>
    <t>Ohio State University (Main campus)</t>
  </si>
  <si>
    <t>University of Alberta</t>
  </si>
  <si>
    <t>University of Oslo</t>
  </si>
  <si>
    <t>Norway</t>
  </si>
  <si>
    <t>Tohoku University</t>
  </si>
  <si>
    <t>University of Göttingen</t>
  </si>
  <si>
    <t>Michigan State University</t>
  </si>
  <si>
    <t>University of Leeds</t>
  </si>
  <si>
    <t>Technical University of Denmark</t>
  </si>
  <si>
    <t>Université de Montréal</t>
  </si>
  <si>
    <t>University of Basel</t>
  </si>
  <si>
    <t>University of Rochester</t>
  </si>
  <si>
    <t>University of Adelaide</t>
  </si>
  <si>
    <t>University of Freiburg</t>
  </si>
  <si>
    <t>University of Florida</t>
  </si>
  <si>
    <t>Uppsala University</t>
  </si>
  <si>
    <t>Maastricht University</t>
  </si>
  <si>
    <t>University of Hamburg</t>
  </si>
  <si>
    <t>University of Lausanne</t>
  </si>
  <si>
    <t>Wuhan University</t>
  </si>
  <si>
    <t>University of Arizona</t>
  </si>
  <si>
    <t>University of Nottingham</t>
  </si>
  <si>
    <t>Vrije Universiteit Amsterdam</t>
  </si>
  <si>
    <t>Trinity College Dublin</t>
  </si>
  <si>
    <t>Ireland</t>
  </si>
  <si>
    <t>Technical University of Berlin</t>
  </si>
  <si>
    <t>Queen Mary University of London</t>
  </si>
  <si>
    <t>University of Pittsburgh-Pittsburgh campus</t>
  </si>
  <si>
    <t>Radboud University Nijmegen</t>
  </si>
  <si>
    <t>Texas A&amp;M University</t>
  </si>
  <si>
    <t>University of Colorado Boulder</t>
  </si>
  <si>
    <t>Beijing Normal University</t>
  </si>
  <si>
    <t>University of Bologna</t>
  </si>
  <si>
    <t>Italy</t>
  </si>
  <si>
    <t>University of York</t>
  </si>
  <si>
    <t>The University of Western Australia</t>
  </si>
  <si>
    <t>University of Barcelona</t>
  </si>
  <si>
    <t>Spain</t>
  </si>
  <si>
    <t>Pohang University of Science and Technology (POSTECH)</t>
  </si>
  <si>
    <t>Harbin Institute of Technology</t>
  </si>
  <si>
    <t>University of Auckland</t>
  </si>
  <si>
    <t>New Zealand</t>
  </si>
  <si>
    <t>Scuola Normale Superiore di Pisa</t>
  </si>
  <si>
    <t>Tongji University</t>
  </si>
  <si>
    <t>University of Technology Sydney</t>
  </si>
  <si>
    <t>Newcastle University</t>
  </si>
  <si>
    <t>University of Cologne</t>
  </si>
  <si>
    <t>Case Western Reserve University</t>
  </si>
  <si>
    <t>TU Dresden</t>
  </si>
  <si>
    <t>University of Liverpool</t>
  </si>
  <si>
    <t>Osaka University</t>
  </si>
  <si>
    <t>University of Virginia (Main campus)</t>
  </si>
  <si>
    <t>University of Waterloo</t>
  </si>
  <si>
    <t>University of Würzburg</t>
  </si>
  <si>
    <t>Huazhong University of Science and Technology</t>
  </si>
  <si>
    <t>Karlsruhe Institute of Technology</t>
  </si>
  <si>
    <t>Dartmouth College</t>
  </si>
  <si>
    <t>Lancaster University</t>
  </si>
  <si>
    <t>University of Antwerp</t>
  </si>
  <si>
    <t>University of Geneva</t>
  </si>
  <si>
    <t>Durham University</t>
  </si>
  <si>
    <t>National Taiwan University (NTU)</t>
  </si>
  <si>
    <t>Taiwan</t>
  </si>
  <si>
    <t>University of Exeter</t>
  </si>
  <si>
    <t>Université Catholique de Louvain</t>
  </si>
  <si>
    <t>King Fahd University of Petroleum and Minerals</t>
  </si>
  <si>
    <t>Saudi Arabia</t>
  </si>
  <si>
    <t>Pompeu Fabra University</t>
  </si>
  <si>
    <t>Macquarie University</t>
  </si>
  <si>
    <t>Tufts University</t>
  </si>
  <si>
    <t>University of Cape Town</t>
  </si>
  <si>
    <t>South Africa</t>
  </si>
  <si>
    <t>University of Macau</t>
  </si>
  <si>
    <t>Macao</t>
  </si>
  <si>
    <t>University of Twente</t>
  </si>
  <si>
    <t>Southern University of Science and Technology (SUSTech)</t>
  </si>
  <si>
    <t>Université Paris Cité</t>
  </si>
  <si>
    <t>Eindhoven University of Technology</t>
  </si>
  <si>
    <t>Sapienza University of Rome</t>
  </si>
  <si>
    <t>University of St Andrews</t>
  </si>
  <si>
    <t>University of Münster</t>
  </si>
  <si>
    <t>Indiana University</t>
  </si>
  <si>
    <t>Korea University</t>
  </si>
  <si>
    <t>Abu Dhabi University</t>
  </si>
  <si>
    <t>United Arab Emirates</t>
  </si>
  <si>
    <t>Stockholm University</t>
  </si>
  <si>
    <t>University of Leicester</t>
  </si>
  <si>
    <t>University of Ottawa</t>
  </si>
  <si>
    <t>Tokyo Institute of Technology</t>
  </si>
  <si>
    <t>Aalto University</t>
  </si>
  <si>
    <t>University of California Santa Cruz</t>
  </si>
  <si>
    <t>University of Notre Dame</t>
  </si>
  <si>
    <t>Ulm University</t>
  </si>
  <si>
    <t>Universitat Autònoma de Barcelona (UAB)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</si>
</sst>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tabSelected="1" zoomScale="75" zoomScaleNormal="108" workbookViewId="0">
      <selection activeCell="C17" sqref="C17"/>
    </sheetView>
  </sheetViews>
  <sheetFormatPr baseColWidth="10" defaultColWidth="8.6640625" defaultRowHeight="15" x14ac:dyDescent="0.2"/>
  <cols>
    <col min="2" max="2" width="11.5" customWidth="1"/>
    <col min="3" max="3" width="56.1640625" customWidth="1"/>
    <col min="4" max="4" width="20.5" customWidth="1"/>
    <col min="5" max="5" width="12.83203125" customWidth="1"/>
    <col min="6" max="6" width="8.83203125" customWidth="1"/>
    <col min="7" max="7" width="21.6640625" customWidth="1"/>
    <col min="8" max="8" width="16.1640625" customWidth="1"/>
    <col min="9" max="9" width="8.5" customWidth="1"/>
    <col min="10" max="10" width="20.6640625" customWidth="1"/>
    <col min="11" max="11" width="18.6640625" customWidth="1"/>
    <col min="12" max="12" width="23.5" customWidth="1"/>
    <col min="13" max="13" width="21.33203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>
        <v>1</v>
      </c>
      <c r="C2" t="s">
        <v>13</v>
      </c>
      <c r="D2" t="s">
        <v>14</v>
      </c>
      <c r="E2">
        <v>98.5</v>
      </c>
      <c r="F2">
        <v>96.8</v>
      </c>
      <c r="G2">
        <v>100</v>
      </c>
      <c r="H2">
        <v>98.8</v>
      </c>
      <c r="I2">
        <v>99.6</v>
      </c>
      <c r="J2">
        <v>97.3</v>
      </c>
      <c r="K2" s="1">
        <v>22095</v>
      </c>
      <c r="L2">
        <v>10.8</v>
      </c>
      <c r="M2" s="2">
        <v>0.43</v>
      </c>
    </row>
    <row r="3" spans="1:13" x14ac:dyDescent="0.2">
      <c r="A3">
        <v>2</v>
      </c>
      <c r="B3">
        <v>2</v>
      </c>
      <c r="C3" t="s">
        <v>15</v>
      </c>
      <c r="D3" t="s">
        <v>16</v>
      </c>
      <c r="E3">
        <v>98.1</v>
      </c>
      <c r="F3">
        <v>99.2</v>
      </c>
      <c r="G3">
        <v>96</v>
      </c>
      <c r="H3">
        <v>99.7</v>
      </c>
      <c r="I3">
        <v>100</v>
      </c>
      <c r="J3">
        <v>93.8</v>
      </c>
      <c r="K3" s="1">
        <v>11836</v>
      </c>
      <c r="L3">
        <v>8</v>
      </c>
      <c r="M3" s="2">
        <v>0.33</v>
      </c>
    </row>
    <row r="4" spans="1:13" x14ac:dyDescent="0.2">
      <c r="A4">
        <v>3</v>
      </c>
      <c r="B4">
        <v>3</v>
      </c>
      <c r="C4" t="s">
        <v>17</v>
      </c>
      <c r="D4" t="s">
        <v>16</v>
      </c>
      <c r="E4">
        <v>97.7</v>
      </c>
      <c r="F4">
        <v>97.3</v>
      </c>
      <c r="G4">
        <v>99.9</v>
      </c>
      <c r="H4">
        <v>99.3</v>
      </c>
      <c r="I4">
        <v>85.7</v>
      </c>
      <c r="J4">
        <v>90.1</v>
      </c>
      <c r="K4" s="1">
        <v>22584</v>
      </c>
      <c r="L4">
        <v>10</v>
      </c>
      <c r="M4" s="2">
        <v>0.25</v>
      </c>
    </row>
    <row r="5" spans="1:13" x14ac:dyDescent="0.2">
      <c r="A5">
        <v>4</v>
      </c>
      <c r="B5">
        <v>4</v>
      </c>
      <c r="C5" t="s">
        <v>18</v>
      </c>
      <c r="D5" t="s">
        <v>16</v>
      </c>
      <c r="E5">
        <v>97.5</v>
      </c>
      <c r="F5">
        <v>98.3</v>
      </c>
      <c r="G5">
        <v>98</v>
      </c>
      <c r="H5">
        <v>98.9</v>
      </c>
      <c r="I5">
        <v>96.9</v>
      </c>
      <c r="J5">
        <v>87.4</v>
      </c>
      <c r="K5" s="1">
        <v>8378</v>
      </c>
      <c r="L5">
        <v>7.8</v>
      </c>
      <c r="M5" s="2">
        <v>0.23</v>
      </c>
    </row>
    <row r="6" spans="1:13" x14ac:dyDescent="0.2">
      <c r="A6">
        <v>5</v>
      </c>
      <c r="B6">
        <v>5</v>
      </c>
      <c r="C6" t="s">
        <v>19</v>
      </c>
      <c r="D6" t="s">
        <v>14</v>
      </c>
      <c r="E6">
        <v>97.4</v>
      </c>
      <c r="F6">
        <v>95.9</v>
      </c>
      <c r="G6">
        <v>99.9</v>
      </c>
      <c r="H6">
        <v>97.6</v>
      </c>
      <c r="I6">
        <v>88.4</v>
      </c>
      <c r="J6">
        <v>97.1</v>
      </c>
      <c r="K6" s="1">
        <v>20980</v>
      </c>
      <c r="L6">
        <v>11.5</v>
      </c>
      <c r="M6" s="2">
        <v>0.38</v>
      </c>
    </row>
    <row r="7" spans="1:13" x14ac:dyDescent="0.2">
      <c r="A7">
        <v>6</v>
      </c>
      <c r="B7">
        <v>6</v>
      </c>
      <c r="C7" t="s">
        <v>20</v>
      </c>
      <c r="D7" t="s">
        <v>16</v>
      </c>
      <c r="E7">
        <v>97.2</v>
      </c>
      <c r="F7">
        <v>97.5</v>
      </c>
      <c r="G7">
        <v>97.3</v>
      </c>
      <c r="H7">
        <v>99.6</v>
      </c>
      <c r="I7">
        <v>100</v>
      </c>
      <c r="J7">
        <v>85.1</v>
      </c>
      <c r="K7" s="1">
        <v>16963</v>
      </c>
      <c r="L7">
        <v>5.9</v>
      </c>
      <c r="M7" s="2">
        <v>0.23</v>
      </c>
    </row>
    <row r="8" spans="1:13" x14ac:dyDescent="0.2">
      <c r="A8">
        <v>7</v>
      </c>
      <c r="B8">
        <v>7</v>
      </c>
      <c r="C8" t="s">
        <v>21</v>
      </c>
      <c r="D8" t="s">
        <v>16</v>
      </c>
      <c r="E8">
        <v>96.3</v>
      </c>
      <c r="F8">
        <v>95.2</v>
      </c>
      <c r="G8">
        <v>97.5</v>
      </c>
      <c r="H8">
        <v>97.3</v>
      </c>
      <c r="I8">
        <v>100</v>
      </c>
      <c r="J8">
        <v>89.7</v>
      </c>
      <c r="K8" s="1">
        <v>2397</v>
      </c>
      <c r="L8">
        <v>6.4</v>
      </c>
      <c r="M8" s="2">
        <v>0.32</v>
      </c>
    </row>
    <row r="9" spans="1:13" x14ac:dyDescent="0.2">
      <c r="A9">
        <v>8</v>
      </c>
      <c r="B9">
        <v>8</v>
      </c>
      <c r="C9" t="s">
        <v>22</v>
      </c>
      <c r="D9" t="s">
        <v>16</v>
      </c>
      <c r="E9">
        <v>94.5</v>
      </c>
      <c r="F9">
        <v>87.2</v>
      </c>
      <c r="G9">
        <v>98.9</v>
      </c>
      <c r="H9">
        <v>99</v>
      </c>
      <c r="I9">
        <v>99.5</v>
      </c>
      <c r="J9">
        <v>86.4</v>
      </c>
      <c r="K9" s="1">
        <v>42423</v>
      </c>
      <c r="L9">
        <v>18.7</v>
      </c>
      <c r="M9" s="2">
        <v>0.25</v>
      </c>
    </row>
    <row r="10" spans="1:13" x14ac:dyDescent="0.2">
      <c r="A10">
        <v>9</v>
      </c>
      <c r="B10">
        <v>9</v>
      </c>
      <c r="C10" t="s">
        <v>23</v>
      </c>
      <c r="D10" t="s">
        <v>14</v>
      </c>
      <c r="E10">
        <v>94.4</v>
      </c>
      <c r="F10">
        <v>89.3</v>
      </c>
      <c r="G10">
        <v>94.9</v>
      </c>
      <c r="H10">
        <v>98.5</v>
      </c>
      <c r="I10">
        <v>90.8</v>
      </c>
      <c r="J10">
        <v>98.3</v>
      </c>
      <c r="K10" s="1">
        <v>21000</v>
      </c>
      <c r="L10">
        <v>12.1</v>
      </c>
      <c r="M10" s="2">
        <v>0.6</v>
      </c>
    </row>
    <row r="11" spans="1:13" x14ac:dyDescent="0.2">
      <c r="A11">
        <v>10</v>
      </c>
      <c r="B11">
        <v>10</v>
      </c>
      <c r="C11" t="s">
        <v>24</v>
      </c>
      <c r="D11" t="s">
        <v>16</v>
      </c>
      <c r="E11">
        <v>94.1</v>
      </c>
      <c r="F11">
        <v>93.7</v>
      </c>
      <c r="G11">
        <v>95</v>
      </c>
      <c r="H11">
        <v>97.8</v>
      </c>
      <c r="I11">
        <v>86.5</v>
      </c>
      <c r="J11">
        <v>82.3</v>
      </c>
      <c r="K11" s="1">
        <v>14401</v>
      </c>
      <c r="L11">
        <v>6.2</v>
      </c>
      <c r="M11" s="2">
        <v>0.22</v>
      </c>
    </row>
    <row r="12" spans="1:13" x14ac:dyDescent="0.2">
      <c r="A12">
        <v>11</v>
      </c>
      <c r="B12">
        <v>11</v>
      </c>
      <c r="C12" t="s">
        <v>25</v>
      </c>
      <c r="D12" t="s">
        <v>26</v>
      </c>
      <c r="E12">
        <v>93</v>
      </c>
      <c r="F12">
        <v>87.3</v>
      </c>
      <c r="G12">
        <v>97.2</v>
      </c>
      <c r="H12">
        <v>95.1</v>
      </c>
      <c r="I12">
        <v>84</v>
      </c>
      <c r="J12">
        <v>95.3</v>
      </c>
      <c r="K12" s="1">
        <v>22883</v>
      </c>
      <c r="L12">
        <v>15.8</v>
      </c>
      <c r="M12" s="2">
        <v>0.44</v>
      </c>
    </row>
    <row r="13" spans="1:13" x14ac:dyDescent="0.2">
      <c r="A13">
        <v>12</v>
      </c>
      <c r="B13">
        <v>12</v>
      </c>
      <c r="C13" t="s">
        <v>27</v>
      </c>
      <c r="D13" t="s">
        <v>28</v>
      </c>
      <c r="E13">
        <v>92.5</v>
      </c>
      <c r="F13">
        <v>95.4</v>
      </c>
      <c r="G13">
        <v>98.4</v>
      </c>
      <c r="H13">
        <v>93.5</v>
      </c>
      <c r="I13">
        <v>100</v>
      </c>
      <c r="J13">
        <v>49.8</v>
      </c>
      <c r="K13" s="1">
        <v>38289</v>
      </c>
      <c r="L13">
        <v>11</v>
      </c>
      <c r="M13" s="2">
        <v>0.09</v>
      </c>
    </row>
    <row r="14" spans="1:13" x14ac:dyDescent="0.2">
      <c r="A14">
        <v>13</v>
      </c>
      <c r="B14">
        <v>13</v>
      </c>
      <c r="C14" t="s">
        <v>29</v>
      </c>
      <c r="D14" t="s">
        <v>28</v>
      </c>
      <c r="E14">
        <v>92</v>
      </c>
      <c r="F14">
        <v>94.9</v>
      </c>
      <c r="G14">
        <v>97.7</v>
      </c>
      <c r="H14">
        <v>88.2</v>
      </c>
      <c r="I14">
        <v>99.9</v>
      </c>
      <c r="J14">
        <v>70.099999999999994</v>
      </c>
      <c r="K14" s="1">
        <v>34981</v>
      </c>
      <c r="L14">
        <v>11.5</v>
      </c>
      <c r="M14" s="2">
        <v>0.15</v>
      </c>
    </row>
    <row r="15" spans="1:13" x14ac:dyDescent="0.2">
      <c r="A15">
        <v>14</v>
      </c>
      <c r="B15">
        <f>14</f>
        <v>14</v>
      </c>
      <c r="C15" t="s">
        <v>30</v>
      </c>
      <c r="D15" t="s">
        <v>16</v>
      </c>
      <c r="E15">
        <v>90.9</v>
      </c>
      <c r="F15">
        <v>88.4</v>
      </c>
      <c r="G15">
        <v>90</v>
      </c>
      <c r="H15">
        <v>97.4</v>
      </c>
      <c r="I15">
        <v>86.2</v>
      </c>
      <c r="J15">
        <v>81.099999999999994</v>
      </c>
      <c r="K15" s="1">
        <v>16373</v>
      </c>
      <c r="L15">
        <v>6</v>
      </c>
      <c r="M15" s="2">
        <v>0.38</v>
      </c>
    </row>
    <row r="16" spans="1:13" x14ac:dyDescent="0.2">
      <c r="A16">
        <v>15</v>
      </c>
      <c r="B16">
        <f>14</f>
        <v>14</v>
      </c>
      <c r="C16" t="s">
        <v>31</v>
      </c>
      <c r="D16" t="s">
        <v>16</v>
      </c>
      <c r="E16">
        <v>90.9</v>
      </c>
      <c r="F16">
        <v>87.1</v>
      </c>
      <c r="G16">
        <v>90.7</v>
      </c>
      <c r="H16">
        <v>96.9</v>
      </c>
      <c r="I16">
        <v>98.3</v>
      </c>
      <c r="J16">
        <v>79.3</v>
      </c>
      <c r="K16" s="1">
        <v>22539</v>
      </c>
      <c r="L16">
        <v>6.8</v>
      </c>
      <c r="M16" s="2">
        <v>0.24</v>
      </c>
    </row>
    <row r="17" spans="1:13" x14ac:dyDescent="0.2">
      <c r="A17">
        <v>16</v>
      </c>
      <c r="B17">
        <v>16</v>
      </c>
      <c r="C17" t="s">
        <v>32</v>
      </c>
      <c r="D17" t="s">
        <v>16</v>
      </c>
      <c r="E17">
        <v>90.7</v>
      </c>
      <c r="F17">
        <v>83.7</v>
      </c>
      <c r="G17">
        <v>91.3</v>
      </c>
      <c r="H17">
        <v>97.3</v>
      </c>
      <c r="I17">
        <v>100</v>
      </c>
      <c r="J17">
        <v>83.6</v>
      </c>
      <c r="K17" s="1">
        <v>21735</v>
      </c>
      <c r="L17">
        <v>5.8</v>
      </c>
      <c r="M17" s="2">
        <v>0.32</v>
      </c>
    </row>
    <row r="18" spans="1:13" x14ac:dyDescent="0.2">
      <c r="A18">
        <v>17</v>
      </c>
      <c r="B18">
        <v>17</v>
      </c>
      <c r="C18" t="s">
        <v>33</v>
      </c>
      <c r="D18" t="s">
        <v>34</v>
      </c>
      <c r="E18">
        <v>89.9</v>
      </c>
      <c r="F18">
        <v>78.400000000000006</v>
      </c>
      <c r="G18">
        <v>93.6</v>
      </c>
      <c r="H18">
        <v>95.7</v>
      </c>
      <c r="I18">
        <v>100</v>
      </c>
      <c r="J18">
        <v>91.9</v>
      </c>
      <c r="K18" s="1">
        <v>34388</v>
      </c>
      <c r="L18">
        <v>21</v>
      </c>
      <c r="M18" s="2">
        <v>0.26</v>
      </c>
    </row>
    <row r="19" spans="1:13" x14ac:dyDescent="0.2">
      <c r="A19">
        <v>18</v>
      </c>
      <c r="B19">
        <f>18</f>
        <v>18</v>
      </c>
      <c r="C19" t="s">
        <v>35</v>
      </c>
      <c r="D19" t="s">
        <v>16</v>
      </c>
      <c r="E19">
        <v>89.8</v>
      </c>
      <c r="F19">
        <v>86.4</v>
      </c>
      <c r="G19">
        <v>88.8</v>
      </c>
      <c r="H19">
        <v>96.9</v>
      </c>
      <c r="I19">
        <v>75.900000000000006</v>
      </c>
      <c r="J19">
        <v>85.4</v>
      </c>
      <c r="K19" s="1">
        <v>30541</v>
      </c>
      <c r="L19">
        <v>5.9</v>
      </c>
      <c r="M19" s="2">
        <v>0.4</v>
      </c>
    </row>
    <row r="20" spans="1:13" x14ac:dyDescent="0.2">
      <c r="A20">
        <v>19</v>
      </c>
      <c r="B20">
        <f>18</f>
        <v>18</v>
      </c>
      <c r="C20" t="s">
        <v>36</v>
      </c>
      <c r="D20" t="s">
        <v>16</v>
      </c>
      <c r="E20">
        <v>89.8</v>
      </c>
      <c r="F20">
        <v>84.9</v>
      </c>
      <c r="G20">
        <v>92.1</v>
      </c>
      <c r="H20">
        <v>96.6</v>
      </c>
      <c r="I20">
        <v>89</v>
      </c>
      <c r="J20">
        <v>73.400000000000006</v>
      </c>
      <c r="K20" s="1">
        <v>44237</v>
      </c>
      <c r="L20">
        <v>9.9</v>
      </c>
      <c r="M20" s="2">
        <v>0.15</v>
      </c>
    </row>
    <row r="21" spans="1:13" x14ac:dyDescent="0.2">
      <c r="A21">
        <v>20</v>
      </c>
      <c r="B21">
        <v>20</v>
      </c>
      <c r="C21" t="s">
        <v>37</v>
      </c>
      <c r="D21" t="s">
        <v>16</v>
      </c>
      <c r="E21">
        <v>89.2</v>
      </c>
      <c r="F21">
        <v>83.2</v>
      </c>
      <c r="G21">
        <v>91.1</v>
      </c>
      <c r="H21">
        <v>96.8</v>
      </c>
      <c r="I21">
        <v>69.5</v>
      </c>
      <c r="J21">
        <v>85.5</v>
      </c>
      <c r="K21" s="1">
        <v>25528</v>
      </c>
      <c r="L21">
        <v>10.5</v>
      </c>
      <c r="M21" s="2">
        <v>0.26</v>
      </c>
    </row>
    <row r="22" spans="1:13" x14ac:dyDescent="0.2">
      <c r="A22">
        <v>21</v>
      </c>
      <c r="B22">
        <v>21</v>
      </c>
      <c r="C22" t="s">
        <v>38</v>
      </c>
      <c r="D22" t="s">
        <v>39</v>
      </c>
      <c r="E22">
        <v>88.3</v>
      </c>
      <c r="F22">
        <v>76.2</v>
      </c>
      <c r="G22">
        <v>93.5</v>
      </c>
      <c r="H22">
        <v>93.4</v>
      </c>
      <c r="I22">
        <v>94.9</v>
      </c>
      <c r="J22">
        <v>91.8</v>
      </c>
      <c r="K22" s="1">
        <v>80107</v>
      </c>
      <c r="L22">
        <v>25.2</v>
      </c>
      <c r="M22" s="2">
        <v>0.28999999999999998</v>
      </c>
    </row>
    <row r="23" spans="1:13" x14ac:dyDescent="0.2">
      <c r="A23">
        <v>22</v>
      </c>
      <c r="B23">
        <f>22</f>
        <v>22</v>
      </c>
      <c r="C23" t="s">
        <v>40</v>
      </c>
      <c r="D23" t="s">
        <v>14</v>
      </c>
      <c r="E23">
        <v>87.7</v>
      </c>
      <c r="F23">
        <v>77.599999999999994</v>
      </c>
      <c r="G23">
        <v>86.2</v>
      </c>
      <c r="H23">
        <v>98.4</v>
      </c>
      <c r="I23">
        <v>74.900000000000006</v>
      </c>
      <c r="J23">
        <v>97.7</v>
      </c>
      <c r="K23" s="1">
        <v>41935</v>
      </c>
      <c r="L23">
        <v>11.1</v>
      </c>
      <c r="M23" s="2">
        <v>0.61</v>
      </c>
    </row>
    <row r="24" spans="1:13" x14ac:dyDescent="0.2">
      <c r="A24">
        <v>23</v>
      </c>
      <c r="B24">
        <f>22</f>
        <v>22</v>
      </c>
      <c r="C24" t="s">
        <v>41</v>
      </c>
      <c r="D24" t="s">
        <v>16</v>
      </c>
      <c r="E24">
        <v>87.7</v>
      </c>
      <c r="F24">
        <v>84.3</v>
      </c>
      <c r="G24">
        <v>88.8</v>
      </c>
      <c r="H24">
        <v>95.4</v>
      </c>
      <c r="I24">
        <v>82.5</v>
      </c>
      <c r="J24">
        <v>68.2</v>
      </c>
      <c r="K24" s="1">
        <v>47787</v>
      </c>
      <c r="L24">
        <v>8.5</v>
      </c>
      <c r="M24" s="2">
        <v>0.18</v>
      </c>
    </row>
    <row r="25" spans="1:13" x14ac:dyDescent="0.2">
      <c r="A25">
        <v>24</v>
      </c>
      <c r="B25">
        <v>24</v>
      </c>
      <c r="C25" t="s">
        <v>42</v>
      </c>
      <c r="D25" t="s">
        <v>16</v>
      </c>
      <c r="E25">
        <v>85.7</v>
      </c>
      <c r="F25">
        <v>73.099999999999994</v>
      </c>
      <c r="G25">
        <v>85.1</v>
      </c>
      <c r="H25">
        <v>99</v>
      </c>
      <c r="I25">
        <v>85.4</v>
      </c>
      <c r="J25">
        <v>84.2</v>
      </c>
      <c r="K25" s="1">
        <v>15312</v>
      </c>
      <c r="L25">
        <v>13.1</v>
      </c>
      <c r="M25" s="2">
        <v>0.46</v>
      </c>
    </row>
    <row r="26" spans="1:13" x14ac:dyDescent="0.2">
      <c r="A26">
        <v>25</v>
      </c>
      <c r="B26">
        <v>25</v>
      </c>
      <c r="C26" t="s">
        <v>43</v>
      </c>
      <c r="D26" t="s">
        <v>16</v>
      </c>
      <c r="E26">
        <v>83.8</v>
      </c>
      <c r="F26">
        <v>74.599999999999994</v>
      </c>
      <c r="G26">
        <v>81.3</v>
      </c>
      <c r="H26">
        <v>98</v>
      </c>
      <c r="I26">
        <v>84.7</v>
      </c>
      <c r="J26">
        <v>72.099999999999994</v>
      </c>
      <c r="K26" s="1">
        <v>49647</v>
      </c>
      <c r="L26">
        <v>10</v>
      </c>
      <c r="M26" s="2">
        <v>0.16</v>
      </c>
    </row>
    <row r="27" spans="1:13" x14ac:dyDescent="0.2">
      <c r="A27">
        <v>26</v>
      </c>
      <c r="B27">
        <v>26</v>
      </c>
      <c r="C27" t="s">
        <v>44</v>
      </c>
      <c r="D27" t="s">
        <v>45</v>
      </c>
      <c r="E27">
        <v>83.5</v>
      </c>
      <c r="F27">
        <v>70.400000000000006</v>
      </c>
      <c r="G27">
        <v>86</v>
      </c>
      <c r="H27">
        <v>91.7</v>
      </c>
      <c r="I27">
        <v>100</v>
      </c>
      <c r="J27">
        <v>83.1</v>
      </c>
      <c r="K27" s="1">
        <v>34907</v>
      </c>
      <c r="L27">
        <v>41.8</v>
      </c>
      <c r="M27" s="2">
        <v>0.43</v>
      </c>
    </row>
    <row r="28" spans="1:13" x14ac:dyDescent="0.2">
      <c r="A28">
        <v>27</v>
      </c>
      <c r="B28">
        <v>27</v>
      </c>
      <c r="C28" t="s">
        <v>46</v>
      </c>
      <c r="D28" t="s">
        <v>16</v>
      </c>
      <c r="E28">
        <v>83.4</v>
      </c>
      <c r="F28">
        <v>77.7</v>
      </c>
      <c r="G28">
        <v>75.599999999999994</v>
      </c>
      <c r="H28">
        <v>96.2</v>
      </c>
      <c r="I28">
        <v>100</v>
      </c>
      <c r="J28">
        <v>75.5</v>
      </c>
      <c r="K28" s="1">
        <v>17180</v>
      </c>
      <c r="L28">
        <v>4.3</v>
      </c>
      <c r="M28" s="2">
        <v>0.22</v>
      </c>
    </row>
    <row r="29" spans="1:13" x14ac:dyDescent="0.2">
      <c r="A29">
        <v>28</v>
      </c>
      <c r="B29">
        <v>28</v>
      </c>
      <c r="C29" t="s">
        <v>47</v>
      </c>
      <c r="D29" t="s">
        <v>48</v>
      </c>
      <c r="E29">
        <v>83.3</v>
      </c>
      <c r="F29">
        <v>94.1</v>
      </c>
      <c r="G29">
        <v>94.2</v>
      </c>
      <c r="H29">
        <v>68.3</v>
      </c>
      <c r="I29">
        <v>100</v>
      </c>
      <c r="J29">
        <v>50.4</v>
      </c>
      <c r="K29" s="1">
        <v>26438</v>
      </c>
      <c r="L29">
        <v>10.4</v>
      </c>
      <c r="M29" s="2">
        <v>0.17</v>
      </c>
    </row>
    <row r="30" spans="1:13" x14ac:dyDescent="0.2">
      <c r="A30">
        <v>29</v>
      </c>
      <c r="B30">
        <v>29</v>
      </c>
      <c r="C30" t="s">
        <v>49</v>
      </c>
      <c r="D30" t="s">
        <v>14</v>
      </c>
      <c r="E30">
        <v>82.5</v>
      </c>
      <c r="F30">
        <v>72.2</v>
      </c>
      <c r="G30">
        <v>77.099999999999994</v>
      </c>
      <c r="H30">
        <v>95.7</v>
      </c>
      <c r="I30">
        <v>72.2</v>
      </c>
      <c r="J30">
        <v>96.6</v>
      </c>
      <c r="K30" s="1">
        <v>37035</v>
      </c>
      <c r="L30">
        <v>12.2</v>
      </c>
      <c r="M30" s="2">
        <v>0.49</v>
      </c>
    </row>
    <row r="31" spans="1:13" x14ac:dyDescent="0.2">
      <c r="A31">
        <v>30</v>
      </c>
      <c r="B31">
        <v>30</v>
      </c>
      <c r="C31" t="s">
        <v>50</v>
      </c>
      <c r="D31" t="s">
        <v>34</v>
      </c>
      <c r="E31">
        <v>81.8</v>
      </c>
      <c r="F31">
        <v>65.8</v>
      </c>
      <c r="G31">
        <v>79.3</v>
      </c>
      <c r="H31">
        <v>94.5</v>
      </c>
      <c r="I31">
        <v>99.9</v>
      </c>
      <c r="J31">
        <v>94.1</v>
      </c>
      <c r="K31" s="1">
        <v>26044</v>
      </c>
      <c r="L31">
        <v>17.100000000000001</v>
      </c>
      <c r="M31" s="2">
        <v>0.28999999999999998</v>
      </c>
    </row>
    <row r="32" spans="1:13" x14ac:dyDescent="0.2">
      <c r="A32">
        <v>31</v>
      </c>
      <c r="B32">
        <v>31</v>
      </c>
      <c r="C32" t="s">
        <v>51</v>
      </c>
      <c r="D32" t="s">
        <v>16</v>
      </c>
      <c r="E32">
        <v>81.400000000000006</v>
      </c>
      <c r="F32">
        <v>71.8</v>
      </c>
      <c r="G32">
        <v>75.8</v>
      </c>
      <c r="H32">
        <v>97.8</v>
      </c>
      <c r="I32">
        <v>92.3</v>
      </c>
      <c r="J32">
        <v>69.400000000000006</v>
      </c>
      <c r="K32" s="1">
        <v>19922</v>
      </c>
      <c r="L32">
        <v>8</v>
      </c>
      <c r="M32" s="2">
        <v>0.2</v>
      </c>
    </row>
    <row r="33" spans="1:13" x14ac:dyDescent="0.2">
      <c r="A33">
        <v>32</v>
      </c>
      <c r="B33">
        <v>32</v>
      </c>
      <c r="C33" t="s">
        <v>52</v>
      </c>
      <c r="D33" t="s">
        <v>26</v>
      </c>
      <c r="E33">
        <v>80.400000000000006</v>
      </c>
      <c r="F33">
        <v>73.599999999999994</v>
      </c>
      <c r="G33">
        <v>72.400000000000006</v>
      </c>
      <c r="H33">
        <v>88.5</v>
      </c>
      <c r="I33">
        <v>100</v>
      </c>
      <c r="J33">
        <v>95.3</v>
      </c>
      <c r="K33" s="1">
        <v>12432</v>
      </c>
      <c r="L33">
        <v>12.5</v>
      </c>
      <c r="M33" s="2">
        <v>0.64</v>
      </c>
    </row>
    <row r="34" spans="1:13" x14ac:dyDescent="0.2">
      <c r="A34">
        <v>33</v>
      </c>
      <c r="B34">
        <v>33</v>
      </c>
      <c r="C34" t="s">
        <v>53</v>
      </c>
      <c r="D34" t="s">
        <v>16</v>
      </c>
      <c r="E34">
        <v>80.3</v>
      </c>
      <c r="F34">
        <v>72</v>
      </c>
      <c r="G34">
        <v>76.8</v>
      </c>
      <c r="H34">
        <v>94.3</v>
      </c>
      <c r="I34">
        <v>71.7</v>
      </c>
      <c r="J34">
        <v>75.3</v>
      </c>
      <c r="K34" s="1">
        <v>49423</v>
      </c>
      <c r="L34">
        <v>7.4</v>
      </c>
      <c r="M34" s="2">
        <v>0.45</v>
      </c>
    </row>
    <row r="35" spans="1:13" x14ac:dyDescent="0.2">
      <c r="A35">
        <v>34</v>
      </c>
      <c r="B35">
        <v>34</v>
      </c>
      <c r="C35" t="s">
        <v>54</v>
      </c>
      <c r="D35" t="s">
        <v>16</v>
      </c>
      <c r="E35">
        <v>79.900000000000006</v>
      </c>
      <c r="F35">
        <v>64.900000000000006</v>
      </c>
      <c r="G35">
        <v>75.8</v>
      </c>
      <c r="H35">
        <v>97.4</v>
      </c>
      <c r="I35">
        <v>100</v>
      </c>
      <c r="J35">
        <v>73.900000000000006</v>
      </c>
      <c r="K35" s="1">
        <v>39993</v>
      </c>
      <c r="L35">
        <v>11</v>
      </c>
      <c r="M35" s="2">
        <v>0.21</v>
      </c>
    </row>
    <row r="36" spans="1:13" x14ac:dyDescent="0.2">
      <c r="A36">
        <v>35</v>
      </c>
      <c r="B36">
        <v>35</v>
      </c>
      <c r="C36" t="s">
        <v>55</v>
      </c>
      <c r="D36" t="s">
        <v>56</v>
      </c>
      <c r="E36">
        <v>79.599999999999994</v>
      </c>
      <c r="F36">
        <v>65</v>
      </c>
      <c r="G36">
        <v>70.5</v>
      </c>
      <c r="H36">
        <v>96.1</v>
      </c>
      <c r="I36">
        <v>96.3</v>
      </c>
      <c r="J36">
        <v>97.4</v>
      </c>
      <c r="K36" s="1">
        <v>18010</v>
      </c>
      <c r="L36">
        <v>18.399999999999999</v>
      </c>
      <c r="M36" s="2">
        <v>0.45</v>
      </c>
    </row>
    <row r="37" spans="1:13" x14ac:dyDescent="0.2">
      <c r="A37">
        <v>36</v>
      </c>
      <c r="B37">
        <f>36</f>
        <v>36</v>
      </c>
      <c r="C37" t="s">
        <v>57</v>
      </c>
      <c r="D37" t="s">
        <v>28</v>
      </c>
      <c r="E37">
        <v>78.8</v>
      </c>
      <c r="F37">
        <v>78.2</v>
      </c>
      <c r="G37">
        <v>76.2</v>
      </c>
      <c r="H37">
        <v>85.4</v>
      </c>
      <c r="I37">
        <v>99.4</v>
      </c>
      <c r="J37">
        <v>53.8</v>
      </c>
      <c r="K37" s="1">
        <v>38462</v>
      </c>
      <c r="L37">
        <v>12.3</v>
      </c>
      <c r="M37" s="2">
        <v>0.09</v>
      </c>
    </row>
    <row r="38" spans="1:13" x14ac:dyDescent="0.2">
      <c r="A38">
        <v>37</v>
      </c>
      <c r="B38">
        <f>36</f>
        <v>36</v>
      </c>
      <c r="C38" t="s">
        <v>58</v>
      </c>
      <c r="D38" t="s">
        <v>14</v>
      </c>
      <c r="E38">
        <v>78.8</v>
      </c>
      <c r="F38">
        <v>60.1</v>
      </c>
      <c r="G38">
        <v>74.3</v>
      </c>
      <c r="H38">
        <v>97.2</v>
      </c>
      <c r="I38">
        <v>76.2</v>
      </c>
      <c r="J38">
        <v>97.2</v>
      </c>
      <c r="K38" s="1">
        <v>35360</v>
      </c>
      <c r="L38">
        <v>14</v>
      </c>
      <c r="M38" s="2">
        <v>0.53</v>
      </c>
    </row>
    <row r="39" spans="1:13" x14ac:dyDescent="0.2">
      <c r="A39">
        <v>38</v>
      </c>
      <c r="B39">
        <v>38</v>
      </c>
      <c r="C39" t="s">
        <v>59</v>
      </c>
      <c r="D39" t="s">
        <v>45</v>
      </c>
      <c r="E39">
        <v>78.7</v>
      </c>
      <c r="F39">
        <v>65.2</v>
      </c>
      <c r="G39">
        <v>76.5</v>
      </c>
      <c r="H39">
        <v>91.7</v>
      </c>
      <c r="I39">
        <v>100</v>
      </c>
      <c r="J39">
        <v>76.400000000000006</v>
      </c>
      <c r="K39" s="1">
        <v>34235</v>
      </c>
      <c r="L39">
        <v>33</v>
      </c>
      <c r="M39" s="2">
        <v>0.18</v>
      </c>
    </row>
    <row r="40" spans="1:13" x14ac:dyDescent="0.2">
      <c r="A40">
        <v>39</v>
      </c>
      <c r="B40">
        <v>39</v>
      </c>
      <c r="C40" t="s">
        <v>60</v>
      </c>
      <c r="D40" t="s">
        <v>61</v>
      </c>
      <c r="E40">
        <v>78.400000000000006</v>
      </c>
      <c r="F40">
        <v>64.2</v>
      </c>
      <c r="G40">
        <v>75.3</v>
      </c>
      <c r="H40">
        <v>89.1</v>
      </c>
      <c r="I40">
        <v>99.3</v>
      </c>
      <c r="J40">
        <v>92.3</v>
      </c>
      <c r="K40" s="1">
        <v>50303</v>
      </c>
      <c r="L40">
        <v>23.6</v>
      </c>
      <c r="M40" s="2">
        <v>0.48</v>
      </c>
    </row>
    <row r="41" spans="1:13" x14ac:dyDescent="0.2">
      <c r="A41">
        <v>40</v>
      </c>
      <c r="B41">
        <v>40</v>
      </c>
      <c r="C41" t="s">
        <v>62</v>
      </c>
      <c r="D41" t="s">
        <v>16</v>
      </c>
      <c r="E41">
        <v>78.3</v>
      </c>
      <c r="F41">
        <v>60</v>
      </c>
      <c r="G41">
        <v>77.7</v>
      </c>
      <c r="H41">
        <v>92.9</v>
      </c>
      <c r="I41">
        <v>99.2</v>
      </c>
      <c r="J41">
        <v>83.4</v>
      </c>
      <c r="K41" s="1">
        <v>34116</v>
      </c>
      <c r="L41">
        <v>31.4</v>
      </c>
      <c r="M41" s="2">
        <v>0.31</v>
      </c>
    </row>
    <row r="42" spans="1:13" x14ac:dyDescent="0.2">
      <c r="A42">
        <v>41</v>
      </c>
      <c r="B42">
        <v>41</v>
      </c>
      <c r="C42" t="s">
        <v>63</v>
      </c>
      <c r="D42" t="s">
        <v>39</v>
      </c>
      <c r="E42">
        <v>77.8</v>
      </c>
      <c r="F42">
        <v>62.3</v>
      </c>
      <c r="G42">
        <v>76.7</v>
      </c>
      <c r="H42">
        <v>89.7</v>
      </c>
      <c r="I42">
        <v>79.8</v>
      </c>
      <c r="J42">
        <v>94.3</v>
      </c>
      <c r="K42" s="1">
        <v>59931</v>
      </c>
      <c r="L42">
        <v>19.3</v>
      </c>
      <c r="M42" s="2">
        <v>0.34</v>
      </c>
    </row>
    <row r="43" spans="1:13" x14ac:dyDescent="0.2">
      <c r="A43">
        <v>42</v>
      </c>
      <c r="B43">
        <v>42</v>
      </c>
      <c r="C43" t="s">
        <v>64</v>
      </c>
      <c r="D43" t="s">
        <v>65</v>
      </c>
      <c r="E43">
        <v>77.7</v>
      </c>
      <c r="F43">
        <v>74.400000000000006</v>
      </c>
      <c r="G43">
        <v>72.8</v>
      </c>
      <c r="H43">
        <v>82</v>
      </c>
      <c r="I43">
        <v>99.4</v>
      </c>
      <c r="J43">
        <v>80.400000000000006</v>
      </c>
      <c r="K43" s="1">
        <v>16016</v>
      </c>
      <c r="L43">
        <v>14.9</v>
      </c>
      <c r="M43" s="2">
        <v>0.21</v>
      </c>
    </row>
    <row r="44" spans="1:13" x14ac:dyDescent="0.2">
      <c r="A44">
        <v>43</v>
      </c>
      <c r="B44">
        <v>43</v>
      </c>
      <c r="C44" t="s">
        <v>66</v>
      </c>
      <c r="D44" t="s">
        <v>67</v>
      </c>
      <c r="E44">
        <v>77</v>
      </c>
      <c r="F44">
        <v>59.5</v>
      </c>
      <c r="G44">
        <v>74.900000000000006</v>
      </c>
      <c r="H44">
        <v>92.4</v>
      </c>
      <c r="I44">
        <v>100</v>
      </c>
      <c r="J44">
        <v>80.599999999999994</v>
      </c>
      <c r="K44" s="1">
        <v>50447</v>
      </c>
      <c r="L44">
        <v>37.5</v>
      </c>
      <c r="M44" s="2">
        <v>0.2</v>
      </c>
    </row>
    <row r="45" spans="1:13" x14ac:dyDescent="0.2">
      <c r="A45">
        <v>44</v>
      </c>
      <c r="B45">
        <v>44</v>
      </c>
      <c r="C45" t="s">
        <v>68</v>
      </c>
      <c r="D45" t="s">
        <v>56</v>
      </c>
      <c r="E45">
        <v>76.8</v>
      </c>
      <c r="F45">
        <v>60.8</v>
      </c>
      <c r="G45">
        <v>64.3</v>
      </c>
      <c r="H45">
        <v>97.8</v>
      </c>
      <c r="I45">
        <v>94.2</v>
      </c>
      <c r="J45">
        <v>94.6</v>
      </c>
      <c r="K45" s="1">
        <v>18210</v>
      </c>
      <c r="L45">
        <v>18.600000000000001</v>
      </c>
      <c r="M45" s="2">
        <v>0.27</v>
      </c>
    </row>
    <row r="46" spans="1:13" x14ac:dyDescent="0.2">
      <c r="A46">
        <v>45</v>
      </c>
      <c r="B46">
        <v>45</v>
      </c>
      <c r="C46" t="s">
        <v>69</v>
      </c>
      <c r="D46" t="s">
        <v>39</v>
      </c>
      <c r="E46">
        <v>76.7</v>
      </c>
      <c r="F46">
        <v>66.2</v>
      </c>
      <c r="G46">
        <v>70.900000000000006</v>
      </c>
      <c r="H46">
        <v>88.6</v>
      </c>
      <c r="I46">
        <v>78</v>
      </c>
      <c r="J46">
        <v>91.6</v>
      </c>
      <c r="K46" s="1">
        <v>30051</v>
      </c>
      <c r="L46">
        <v>11.3</v>
      </c>
      <c r="M46" s="2">
        <v>0.3</v>
      </c>
    </row>
    <row r="47" spans="1:13" x14ac:dyDescent="0.2">
      <c r="A47">
        <v>46</v>
      </c>
      <c r="B47">
        <v>46</v>
      </c>
      <c r="C47" t="s">
        <v>70</v>
      </c>
      <c r="D47" t="s">
        <v>16</v>
      </c>
      <c r="E47">
        <v>76.5</v>
      </c>
      <c r="F47">
        <v>66.400000000000006</v>
      </c>
      <c r="G47">
        <v>81</v>
      </c>
      <c r="H47">
        <v>84.1</v>
      </c>
      <c r="I47">
        <v>86.7</v>
      </c>
      <c r="J47">
        <v>63.2</v>
      </c>
      <c r="K47" s="1">
        <v>50655</v>
      </c>
      <c r="L47">
        <v>19.7</v>
      </c>
      <c r="M47" s="2">
        <v>0.25</v>
      </c>
    </row>
    <row r="48" spans="1:13" x14ac:dyDescent="0.2">
      <c r="A48">
        <v>47</v>
      </c>
      <c r="B48">
        <f>47</f>
        <v>47</v>
      </c>
      <c r="C48" t="s">
        <v>71</v>
      </c>
      <c r="D48" t="s">
        <v>45</v>
      </c>
      <c r="E48">
        <v>76.2</v>
      </c>
      <c r="F48">
        <v>65.599999999999994</v>
      </c>
      <c r="G48">
        <v>63.4</v>
      </c>
      <c r="H48">
        <v>95.2</v>
      </c>
      <c r="I48">
        <v>99.3</v>
      </c>
      <c r="J48">
        <v>78.5</v>
      </c>
      <c r="K48" s="1">
        <v>19632</v>
      </c>
      <c r="L48">
        <v>13.3</v>
      </c>
      <c r="M48" s="2">
        <v>0.21</v>
      </c>
    </row>
    <row r="49" spans="1:13" x14ac:dyDescent="0.2">
      <c r="A49">
        <v>48</v>
      </c>
      <c r="B49">
        <f>47</f>
        <v>47</v>
      </c>
      <c r="C49" t="s">
        <v>72</v>
      </c>
      <c r="D49" t="s">
        <v>28</v>
      </c>
      <c r="E49">
        <v>76.2</v>
      </c>
      <c r="F49">
        <v>70.599999999999994</v>
      </c>
      <c r="G49">
        <v>76.599999999999994</v>
      </c>
      <c r="H49">
        <v>81.8</v>
      </c>
      <c r="I49">
        <v>100</v>
      </c>
      <c r="J49">
        <v>61.3</v>
      </c>
      <c r="K49" s="1">
        <v>50206</v>
      </c>
      <c r="L49">
        <v>12.1</v>
      </c>
      <c r="M49" s="2">
        <v>0.15</v>
      </c>
    </row>
    <row r="50" spans="1:13" x14ac:dyDescent="0.2">
      <c r="A50">
        <v>49</v>
      </c>
      <c r="B50">
        <v>49</v>
      </c>
      <c r="C50" t="s">
        <v>73</v>
      </c>
      <c r="D50" t="s">
        <v>74</v>
      </c>
      <c r="E50">
        <v>76.099999999999994</v>
      </c>
      <c r="F50">
        <v>59.9</v>
      </c>
      <c r="G50">
        <v>67.099999999999994</v>
      </c>
      <c r="H50">
        <v>96.1</v>
      </c>
      <c r="I50">
        <v>95.9</v>
      </c>
      <c r="J50">
        <v>83.8</v>
      </c>
      <c r="K50" s="1">
        <v>8005</v>
      </c>
      <c r="L50">
        <v>9.9</v>
      </c>
      <c r="M50" s="2">
        <v>0.28000000000000003</v>
      </c>
    </row>
    <row r="51" spans="1:13" x14ac:dyDescent="0.2">
      <c r="A51">
        <v>50</v>
      </c>
      <c r="B51">
        <f>50</f>
        <v>50</v>
      </c>
      <c r="C51" t="s">
        <v>75</v>
      </c>
      <c r="D51" t="s">
        <v>14</v>
      </c>
      <c r="E51">
        <v>75.900000000000006</v>
      </c>
      <c r="F51">
        <v>60</v>
      </c>
      <c r="G51">
        <v>72</v>
      </c>
      <c r="H51">
        <v>94.7</v>
      </c>
      <c r="I51">
        <v>45.1</v>
      </c>
      <c r="J51">
        <v>94.2</v>
      </c>
      <c r="K51" s="1">
        <v>12150</v>
      </c>
      <c r="L51">
        <v>12.3</v>
      </c>
      <c r="M51" s="2">
        <v>0.71</v>
      </c>
    </row>
    <row r="52" spans="1:13" x14ac:dyDescent="0.2">
      <c r="A52">
        <v>51</v>
      </c>
      <c r="B52">
        <f>50</f>
        <v>50</v>
      </c>
      <c r="C52" t="s">
        <v>76</v>
      </c>
      <c r="D52" t="s">
        <v>16</v>
      </c>
      <c r="E52">
        <v>75.900000000000006</v>
      </c>
      <c r="F52">
        <v>66.099999999999994</v>
      </c>
      <c r="G52">
        <v>76.3</v>
      </c>
      <c r="H52">
        <v>91.3</v>
      </c>
      <c r="I52">
        <v>82.6</v>
      </c>
      <c r="J52">
        <v>47.2</v>
      </c>
      <c r="K52" s="1">
        <v>50047</v>
      </c>
      <c r="L52">
        <v>16.600000000000001</v>
      </c>
      <c r="M52" s="2">
        <v>0.09</v>
      </c>
    </row>
    <row r="53" spans="1:13" x14ac:dyDescent="0.2">
      <c r="A53">
        <v>52</v>
      </c>
      <c r="B53">
        <v>52</v>
      </c>
      <c r="C53" t="s">
        <v>77</v>
      </c>
      <c r="D53" t="s">
        <v>28</v>
      </c>
      <c r="E53">
        <v>75.8</v>
      </c>
      <c r="F53">
        <v>72.400000000000006</v>
      </c>
      <c r="G53">
        <v>79.3</v>
      </c>
      <c r="H53">
        <v>77.5</v>
      </c>
      <c r="I53">
        <v>100</v>
      </c>
      <c r="J53">
        <v>56.4</v>
      </c>
      <c r="K53" s="1">
        <v>40159</v>
      </c>
      <c r="L53">
        <v>12.4</v>
      </c>
      <c r="M53" s="2">
        <v>0.09</v>
      </c>
    </row>
    <row r="54" spans="1:13" x14ac:dyDescent="0.2">
      <c r="A54">
        <v>53</v>
      </c>
      <c r="B54">
        <f>53</f>
        <v>53</v>
      </c>
      <c r="C54" t="s">
        <v>78</v>
      </c>
      <c r="D54" t="s">
        <v>14</v>
      </c>
      <c r="E54">
        <v>75.5</v>
      </c>
      <c r="F54">
        <v>60.3</v>
      </c>
      <c r="G54">
        <v>67.7</v>
      </c>
      <c r="H54">
        <v>93.4</v>
      </c>
      <c r="I54">
        <v>73.3</v>
      </c>
      <c r="J54">
        <v>95.5</v>
      </c>
      <c r="K54" s="1">
        <v>42160</v>
      </c>
      <c r="L54">
        <v>15.1</v>
      </c>
      <c r="M54" s="2">
        <v>0.46</v>
      </c>
    </row>
    <row r="55" spans="1:13" x14ac:dyDescent="0.2">
      <c r="A55">
        <v>54</v>
      </c>
      <c r="B55">
        <f>53</f>
        <v>53</v>
      </c>
      <c r="C55" t="s">
        <v>79</v>
      </c>
      <c r="D55" t="s">
        <v>28</v>
      </c>
      <c r="E55">
        <v>75.5</v>
      </c>
      <c r="F55">
        <v>72.3</v>
      </c>
      <c r="G55">
        <v>68.099999999999994</v>
      </c>
      <c r="H55">
        <v>90</v>
      </c>
      <c r="I55">
        <v>98.8</v>
      </c>
      <c r="J55">
        <v>46.1</v>
      </c>
      <c r="K55" s="1">
        <v>20888</v>
      </c>
      <c r="L55">
        <v>8</v>
      </c>
      <c r="M55" s="2">
        <v>0.05</v>
      </c>
    </row>
    <row r="56" spans="1:13" x14ac:dyDescent="0.2">
      <c r="A56">
        <v>55</v>
      </c>
      <c r="B56">
        <v>55</v>
      </c>
      <c r="C56" t="s">
        <v>80</v>
      </c>
      <c r="D56" t="s">
        <v>48</v>
      </c>
      <c r="E56">
        <v>75.2</v>
      </c>
      <c r="F56">
        <v>86.3</v>
      </c>
      <c r="G56">
        <v>85.1</v>
      </c>
      <c r="H56">
        <v>58.7</v>
      </c>
      <c r="I56">
        <v>100</v>
      </c>
      <c r="J56">
        <v>45.8</v>
      </c>
      <c r="K56" s="1">
        <v>21707</v>
      </c>
      <c r="L56">
        <v>9</v>
      </c>
      <c r="M56" s="2">
        <v>0.11</v>
      </c>
    </row>
    <row r="57" spans="1:13" x14ac:dyDescent="0.2">
      <c r="A57">
        <v>56</v>
      </c>
      <c r="B57">
        <f>56</f>
        <v>56</v>
      </c>
      <c r="C57" t="s">
        <v>81</v>
      </c>
      <c r="D57" t="s">
        <v>82</v>
      </c>
      <c r="E57">
        <v>74.8</v>
      </c>
      <c r="F57">
        <v>63.2</v>
      </c>
      <c r="G57">
        <v>76.099999999999994</v>
      </c>
      <c r="H57">
        <v>76.8</v>
      </c>
      <c r="I57">
        <v>100</v>
      </c>
      <c r="J57">
        <v>93.6</v>
      </c>
      <c r="K57" s="1">
        <v>20943</v>
      </c>
      <c r="L57">
        <v>14.5</v>
      </c>
      <c r="M57" s="2">
        <v>0.37</v>
      </c>
    </row>
    <row r="58" spans="1:13" x14ac:dyDescent="0.2">
      <c r="A58">
        <v>57</v>
      </c>
      <c r="B58">
        <f>56</f>
        <v>56</v>
      </c>
      <c r="C58" t="s">
        <v>83</v>
      </c>
      <c r="D58" t="s">
        <v>16</v>
      </c>
      <c r="E58">
        <v>74.8</v>
      </c>
      <c r="F58">
        <v>69.7</v>
      </c>
      <c r="G58">
        <v>70.2</v>
      </c>
      <c r="H58">
        <v>86.3</v>
      </c>
      <c r="I58">
        <v>81.400000000000006</v>
      </c>
      <c r="J58">
        <v>63.5</v>
      </c>
      <c r="K58" s="1">
        <v>43549</v>
      </c>
      <c r="L58">
        <v>10.6</v>
      </c>
      <c r="M58" s="2">
        <v>0.14000000000000001</v>
      </c>
    </row>
    <row r="59" spans="1:13" x14ac:dyDescent="0.2">
      <c r="A59">
        <v>58</v>
      </c>
      <c r="B59">
        <f t="shared" ref="B59:B61" si="0">58</f>
        <v>58</v>
      </c>
      <c r="C59" t="s">
        <v>84</v>
      </c>
      <c r="D59" t="s">
        <v>16</v>
      </c>
      <c r="E59">
        <v>73.8</v>
      </c>
      <c r="F59">
        <v>71.8</v>
      </c>
      <c r="G59">
        <v>60.9</v>
      </c>
      <c r="H59">
        <v>89.4</v>
      </c>
      <c r="I59">
        <v>68.599999999999994</v>
      </c>
      <c r="J59">
        <v>71.599999999999994</v>
      </c>
      <c r="K59" s="1">
        <v>10476</v>
      </c>
      <c r="L59">
        <v>10.3</v>
      </c>
      <c r="M59" s="2">
        <v>0.2</v>
      </c>
    </row>
    <row r="60" spans="1:13" x14ac:dyDescent="0.2">
      <c r="A60">
        <v>59</v>
      </c>
      <c r="B60">
        <f t="shared" si="0"/>
        <v>58</v>
      </c>
      <c r="C60" t="s">
        <v>85</v>
      </c>
      <c r="D60" t="s">
        <v>61</v>
      </c>
      <c r="E60">
        <v>73.8</v>
      </c>
      <c r="F60">
        <v>52.2</v>
      </c>
      <c r="G60">
        <v>65.599999999999994</v>
      </c>
      <c r="H60">
        <v>95</v>
      </c>
      <c r="I60">
        <v>99.7</v>
      </c>
      <c r="J60">
        <v>92</v>
      </c>
      <c r="K60" s="1">
        <v>54821</v>
      </c>
      <c r="L60">
        <v>32.6</v>
      </c>
      <c r="M60" s="2">
        <v>0.37</v>
      </c>
    </row>
    <row r="61" spans="1:13" x14ac:dyDescent="0.2">
      <c r="A61">
        <v>60</v>
      </c>
      <c r="B61">
        <f t="shared" si="0"/>
        <v>58</v>
      </c>
      <c r="C61" t="s">
        <v>86</v>
      </c>
      <c r="D61" t="s">
        <v>82</v>
      </c>
      <c r="E61">
        <v>73.8</v>
      </c>
      <c r="F61">
        <v>54.5</v>
      </c>
      <c r="G61">
        <v>63.8</v>
      </c>
      <c r="H61">
        <v>97.1</v>
      </c>
      <c r="I61">
        <v>77.2</v>
      </c>
      <c r="J61">
        <v>93.4</v>
      </c>
      <c r="K61" s="1">
        <v>29759</v>
      </c>
      <c r="L61">
        <v>12.8</v>
      </c>
      <c r="M61" s="2">
        <v>0.39</v>
      </c>
    </row>
    <row r="62" spans="1:13" x14ac:dyDescent="0.2">
      <c r="A62">
        <v>61</v>
      </c>
      <c r="B62">
        <v>61</v>
      </c>
      <c r="C62" t="s">
        <v>87</v>
      </c>
      <c r="D62" t="s">
        <v>61</v>
      </c>
      <c r="E62">
        <v>73.7</v>
      </c>
      <c r="F62">
        <v>53.2</v>
      </c>
      <c r="G62">
        <v>67.7</v>
      </c>
      <c r="H62">
        <v>92.1</v>
      </c>
      <c r="I62">
        <v>99.5</v>
      </c>
      <c r="J62">
        <v>90.5</v>
      </c>
      <c r="K62" s="1">
        <v>53079</v>
      </c>
      <c r="L62">
        <v>27.5</v>
      </c>
      <c r="M62" s="2">
        <v>0.51</v>
      </c>
    </row>
    <row r="63" spans="1:13" x14ac:dyDescent="0.2">
      <c r="A63">
        <v>62</v>
      </c>
      <c r="B63">
        <f>62</f>
        <v>62</v>
      </c>
      <c r="C63" t="s">
        <v>88</v>
      </c>
      <c r="D63" t="s">
        <v>89</v>
      </c>
      <c r="E63">
        <v>73.5</v>
      </c>
      <c r="F63">
        <v>73.7</v>
      </c>
      <c r="G63">
        <v>74.3</v>
      </c>
      <c r="H63">
        <v>76.2</v>
      </c>
      <c r="I63">
        <v>100</v>
      </c>
      <c r="J63">
        <v>44.9</v>
      </c>
      <c r="K63" s="1">
        <v>25644</v>
      </c>
      <c r="L63">
        <v>14.2</v>
      </c>
      <c r="M63" s="2">
        <v>0.16</v>
      </c>
    </row>
    <row r="64" spans="1:13" x14ac:dyDescent="0.2">
      <c r="A64">
        <v>63</v>
      </c>
      <c r="B64">
        <f>62</f>
        <v>62</v>
      </c>
      <c r="C64" t="s">
        <v>90</v>
      </c>
      <c r="D64" t="s">
        <v>16</v>
      </c>
      <c r="E64">
        <v>73.5</v>
      </c>
      <c r="F64">
        <v>63.8</v>
      </c>
      <c r="G64">
        <v>67.8</v>
      </c>
      <c r="H64">
        <v>86.1</v>
      </c>
      <c r="I64">
        <v>89.4</v>
      </c>
      <c r="J64">
        <v>75.400000000000006</v>
      </c>
      <c r="K64" s="1">
        <v>38873</v>
      </c>
      <c r="L64">
        <v>13.9</v>
      </c>
      <c r="M64" s="2">
        <v>0.17</v>
      </c>
    </row>
    <row r="65" spans="1:13" x14ac:dyDescent="0.2">
      <c r="A65">
        <v>64</v>
      </c>
      <c r="B65">
        <v>64</v>
      </c>
      <c r="C65" t="s">
        <v>91</v>
      </c>
      <c r="D65" t="s">
        <v>65</v>
      </c>
      <c r="E65">
        <v>73.400000000000006</v>
      </c>
      <c r="F65">
        <v>68.400000000000006</v>
      </c>
      <c r="G65">
        <v>66.900000000000006</v>
      </c>
      <c r="H65">
        <v>81.5</v>
      </c>
      <c r="I65">
        <v>91</v>
      </c>
      <c r="J65">
        <v>77.5</v>
      </c>
      <c r="K65" s="1">
        <v>32679</v>
      </c>
      <c r="L65">
        <v>15</v>
      </c>
      <c r="M65" s="2">
        <v>0.24</v>
      </c>
    </row>
    <row r="66" spans="1:13" x14ac:dyDescent="0.2">
      <c r="A66">
        <v>65</v>
      </c>
      <c r="B66">
        <v>65</v>
      </c>
      <c r="C66" t="s">
        <v>92</v>
      </c>
      <c r="D66" t="s">
        <v>28</v>
      </c>
      <c r="E66">
        <v>73</v>
      </c>
      <c r="F66">
        <v>66.8</v>
      </c>
      <c r="G66">
        <v>65</v>
      </c>
      <c r="H66">
        <v>86.3</v>
      </c>
      <c r="I66">
        <v>99.1</v>
      </c>
      <c r="J66">
        <v>61.5</v>
      </c>
      <c r="K66" s="1">
        <v>33608</v>
      </c>
      <c r="L66">
        <v>14.6</v>
      </c>
      <c r="M66" s="2">
        <v>0.1</v>
      </c>
    </row>
    <row r="67" spans="1:13" x14ac:dyDescent="0.2">
      <c r="A67">
        <v>66</v>
      </c>
      <c r="B67">
        <v>66</v>
      </c>
      <c r="C67" t="s">
        <v>93</v>
      </c>
      <c r="D67" t="s">
        <v>56</v>
      </c>
      <c r="E67">
        <v>72.900000000000006</v>
      </c>
      <c r="F67">
        <v>54.1</v>
      </c>
      <c r="G67">
        <v>60.9</v>
      </c>
      <c r="H67">
        <v>93</v>
      </c>
      <c r="I67">
        <v>100</v>
      </c>
      <c r="J67">
        <v>98.1</v>
      </c>
      <c r="K67" s="1">
        <v>9534</v>
      </c>
      <c r="L67">
        <v>16.5</v>
      </c>
      <c r="M67" s="2">
        <v>0.44</v>
      </c>
    </row>
    <row r="68" spans="1:13" x14ac:dyDescent="0.2">
      <c r="A68">
        <v>67</v>
      </c>
      <c r="B68">
        <f>67</f>
        <v>67</v>
      </c>
      <c r="C68" t="s">
        <v>94</v>
      </c>
      <c r="D68" t="s">
        <v>16</v>
      </c>
      <c r="E68">
        <v>72.7</v>
      </c>
      <c r="F68">
        <v>49.6</v>
      </c>
      <c r="G68">
        <v>65.5</v>
      </c>
      <c r="H68">
        <v>96.7</v>
      </c>
      <c r="I68">
        <v>96.8</v>
      </c>
      <c r="J68">
        <v>81.900000000000006</v>
      </c>
      <c r="K68" s="1">
        <v>25442</v>
      </c>
      <c r="L68">
        <v>27.6</v>
      </c>
      <c r="M68" s="2">
        <v>0.17</v>
      </c>
    </row>
    <row r="69" spans="1:13" x14ac:dyDescent="0.2">
      <c r="A69">
        <v>68</v>
      </c>
      <c r="B69">
        <f>67</f>
        <v>67</v>
      </c>
      <c r="C69" t="s">
        <v>95</v>
      </c>
      <c r="D69" t="s">
        <v>82</v>
      </c>
      <c r="E69">
        <v>72.7</v>
      </c>
      <c r="F69">
        <v>56.7</v>
      </c>
      <c r="G69">
        <v>59.3</v>
      </c>
      <c r="H69">
        <v>92.9</v>
      </c>
      <c r="I69">
        <v>99</v>
      </c>
      <c r="J69">
        <v>92.8</v>
      </c>
      <c r="K69" s="1">
        <v>15976</v>
      </c>
      <c r="L69">
        <v>17.399999999999999</v>
      </c>
      <c r="M69" s="2">
        <v>0.28999999999999998</v>
      </c>
    </row>
    <row r="70" spans="1:13" x14ac:dyDescent="0.2">
      <c r="A70">
        <v>69</v>
      </c>
      <c r="B70">
        <v>69</v>
      </c>
      <c r="C70" t="s">
        <v>96</v>
      </c>
      <c r="D70" t="s">
        <v>16</v>
      </c>
      <c r="E70">
        <v>72.2</v>
      </c>
      <c r="F70">
        <v>59.8</v>
      </c>
      <c r="G70">
        <v>56.9</v>
      </c>
      <c r="H70">
        <v>97.5</v>
      </c>
      <c r="I70">
        <v>78.400000000000006</v>
      </c>
      <c r="J70">
        <v>74.8</v>
      </c>
      <c r="K70" s="1">
        <v>15303</v>
      </c>
      <c r="L70">
        <v>7.9</v>
      </c>
      <c r="M70" s="2">
        <v>0.27</v>
      </c>
    </row>
    <row r="71" spans="1:13" x14ac:dyDescent="0.2">
      <c r="A71">
        <v>70</v>
      </c>
      <c r="B71">
        <v>70</v>
      </c>
      <c r="C71" t="s">
        <v>97</v>
      </c>
      <c r="D71" t="s">
        <v>16</v>
      </c>
      <c r="E71">
        <v>71.599999999999994</v>
      </c>
      <c r="F71">
        <v>63.3</v>
      </c>
      <c r="G71">
        <v>62.3</v>
      </c>
      <c r="H71">
        <v>93.3</v>
      </c>
      <c r="I71">
        <v>75.7</v>
      </c>
      <c r="J71">
        <v>50.9</v>
      </c>
      <c r="K71" s="1">
        <v>35049</v>
      </c>
      <c r="L71">
        <v>8.6999999999999993</v>
      </c>
      <c r="M71" s="2">
        <v>0.09</v>
      </c>
    </row>
    <row r="72" spans="1:13" x14ac:dyDescent="0.2">
      <c r="A72">
        <v>71</v>
      </c>
      <c r="B72">
        <v>71</v>
      </c>
      <c r="C72" t="s">
        <v>98</v>
      </c>
      <c r="D72" t="s">
        <v>65</v>
      </c>
      <c r="E72">
        <v>71.3</v>
      </c>
      <c r="F72">
        <v>69.2</v>
      </c>
      <c r="G72">
        <v>60.8</v>
      </c>
      <c r="H72">
        <v>73.400000000000006</v>
      </c>
      <c r="I72">
        <v>98.3</v>
      </c>
      <c r="J72">
        <v>97</v>
      </c>
      <c r="K72" s="1">
        <v>6062</v>
      </c>
      <c r="L72">
        <v>6.7</v>
      </c>
      <c r="M72" s="2">
        <v>0.43</v>
      </c>
    </row>
    <row r="73" spans="1:13" x14ac:dyDescent="0.2">
      <c r="A73">
        <v>72</v>
      </c>
      <c r="B73">
        <v>72</v>
      </c>
      <c r="C73" t="s">
        <v>99</v>
      </c>
      <c r="D73" t="s">
        <v>16</v>
      </c>
      <c r="E73">
        <v>71</v>
      </c>
      <c r="F73">
        <v>58.3</v>
      </c>
      <c r="G73">
        <v>60.4</v>
      </c>
      <c r="H73">
        <v>92.8</v>
      </c>
      <c r="I73">
        <v>75</v>
      </c>
      <c r="J73">
        <v>73.2</v>
      </c>
      <c r="K73" s="1">
        <v>44180</v>
      </c>
      <c r="L73">
        <v>14.2</v>
      </c>
      <c r="M73" s="2">
        <v>0.27</v>
      </c>
    </row>
    <row r="74" spans="1:13" x14ac:dyDescent="0.2">
      <c r="A74">
        <v>73</v>
      </c>
      <c r="B74">
        <f>73</f>
        <v>73</v>
      </c>
      <c r="C74" t="s">
        <v>100</v>
      </c>
      <c r="D74" t="s">
        <v>61</v>
      </c>
      <c r="E74">
        <v>70.7</v>
      </c>
      <c r="F74">
        <v>53.6</v>
      </c>
      <c r="G74">
        <v>65.099999999999994</v>
      </c>
      <c r="H74">
        <v>85</v>
      </c>
      <c r="I74">
        <v>86.1</v>
      </c>
      <c r="J74">
        <v>94</v>
      </c>
      <c r="K74" s="1">
        <v>17100</v>
      </c>
      <c r="L74">
        <v>14.8</v>
      </c>
      <c r="M74" s="2">
        <v>0.48</v>
      </c>
    </row>
    <row r="75" spans="1:13" x14ac:dyDescent="0.2">
      <c r="A75">
        <v>74</v>
      </c>
      <c r="B75">
        <f>73</f>
        <v>73</v>
      </c>
      <c r="C75" t="s">
        <v>101</v>
      </c>
      <c r="D75" t="s">
        <v>82</v>
      </c>
      <c r="E75">
        <v>70.7</v>
      </c>
      <c r="F75">
        <v>46.8</v>
      </c>
      <c r="G75">
        <v>62.8</v>
      </c>
      <c r="H75">
        <v>93.8</v>
      </c>
      <c r="I75">
        <v>98.7</v>
      </c>
      <c r="J75">
        <v>87.7</v>
      </c>
      <c r="K75" s="1">
        <v>34614</v>
      </c>
      <c r="L75">
        <v>18.399999999999999</v>
      </c>
      <c r="M75" s="2">
        <v>0.22</v>
      </c>
    </row>
    <row r="76" spans="1:13" x14ac:dyDescent="0.2">
      <c r="A76">
        <v>75</v>
      </c>
      <c r="B76">
        <v>75</v>
      </c>
      <c r="C76" t="s">
        <v>102</v>
      </c>
      <c r="D76" t="s">
        <v>16</v>
      </c>
      <c r="E76">
        <v>70.599999999999994</v>
      </c>
      <c r="F76">
        <v>60.5</v>
      </c>
      <c r="G76">
        <v>56.2</v>
      </c>
      <c r="H76">
        <v>93.2</v>
      </c>
      <c r="I76">
        <v>71.2</v>
      </c>
      <c r="J76">
        <v>75.3</v>
      </c>
      <c r="K76" s="1">
        <v>28939</v>
      </c>
      <c r="L76">
        <v>11.7</v>
      </c>
      <c r="M76" s="2">
        <v>0.32</v>
      </c>
    </row>
    <row r="77" spans="1:13" x14ac:dyDescent="0.2">
      <c r="A77">
        <v>76</v>
      </c>
      <c r="B77">
        <v>76</v>
      </c>
      <c r="C77" t="s">
        <v>103</v>
      </c>
      <c r="D77" t="s">
        <v>65</v>
      </c>
      <c r="E77">
        <v>70.400000000000006</v>
      </c>
      <c r="F77">
        <v>64.599999999999994</v>
      </c>
      <c r="G77">
        <v>61.1</v>
      </c>
      <c r="H77">
        <v>82.4</v>
      </c>
      <c r="I77">
        <v>71.5</v>
      </c>
      <c r="J77">
        <v>80.8</v>
      </c>
      <c r="K77" s="1">
        <v>40340</v>
      </c>
      <c r="L77">
        <v>14.1</v>
      </c>
      <c r="M77" s="2">
        <v>0.22</v>
      </c>
    </row>
    <row r="78" spans="1:13" x14ac:dyDescent="0.2">
      <c r="A78">
        <v>77</v>
      </c>
      <c r="B78">
        <v>77</v>
      </c>
      <c r="C78" t="s">
        <v>104</v>
      </c>
      <c r="D78" t="s">
        <v>61</v>
      </c>
      <c r="E78">
        <v>70.3</v>
      </c>
      <c r="F78">
        <v>50.8</v>
      </c>
      <c r="G78">
        <v>61.9</v>
      </c>
      <c r="H78">
        <v>87.8</v>
      </c>
      <c r="I78">
        <v>99.7</v>
      </c>
      <c r="J78">
        <v>93.6</v>
      </c>
      <c r="K78" s="1">
        <v>41249</v>
      </c>
      <c r="L78">
        <v>37.6</v>
      </c>
      <c r="M78" s="2">
        <v>0.42</v>
      </c>
    </row>
    <row r="79" spans="1:13" x14ac:dyDescent="0.2">
      <c r="A79">
        <v>78</v>
      </c>
      <c r="B79">
        <v>78</v>
      </c>
      <c r="C79" t="s">
        <v>105</v>
      </c>
      <c r="D79" t="s">
        <v>56</v>
      </c>
      <c r="E79">
        <v>70</v>
      </c>
      <c r="F79">
        <v>53.1</v>
      </c>
      <c r="G79">
        <v>51.8</v>
      </c>
      <c r="H79">
        <v>92.9</v>
      </c>
      <c r="I79">
        <v>100</v>
      </c>
      <c r="J79">
        <v>99.1</v>
      </c>
      <c r="K79" s="1">
        <v>8592</v>
      </c>
      <c r="L79">
        <v>12.5</v>
      </c>
      <c r="M79" s="2">
        <v>0.72</v>
      </c>
    </row>
    <row r="80" spans="1:13" x14ac:dyDescent="0.2">
      <c r="A80">
        <v>79</v>
      </c>
      <c r="B80">
        <v>78</v>
      </c>
      <c r="C80" t="s">
        <v>106</v>
      </c>
      <c r="D80" t="s">
        <v>14</v>
      </c>
      <c r="E80">
        <v>70</v>
      </c>
      <c r="F80">
        <v>49.8</v>
      </c>
      <c r="G80">
        <v>56.9</v>
      </c>
      <c r="H80">
        <v>96.8</v>
      </c>
      <c r="I80">
        <v>71.099999999999994</v>
      </c>
      <c r="J80">
        <v>92.6</v>
      </c>
      <c r="K80" s="1">
        <v>28730</v>
      </c>
      <c r="L80">
        <v>14.5</v>
      </c>
      <c r="M80" s="2">
        <v>0.33</v>
      </c>
    </row>
    <row r="81" spans="1:13" x14ac:dyDescent="0.2">
      <c r="A81">
        <v>80</v>
      </c>
      <c r="B81">
        <v>79</v>
      </c>
      <c r="C81" t="s">
        <v>107</v>
      </c>
      <c r="D81" t="s">
        <v>16</v>
      </c>
      <c r="E81">
        <v>69.900000000000006</v>
      </c>
      <c r="F81">
        <v>63</v>
      </c>
      <c r="G81">
        <v>68.900000000000006</v>
      </c>
      <c r="H81">
        <v>73.8</v>
      </c>
      <c r="I81">
        <v>86.2</v>
      </c>
      <c r="J81">
        <v>77.2</v>
      </c>
      <c r="K81" s="1">
        <v>41612</v>
      </c>
      <c r="L81">
        <v>18.7</v>
      </c>
      <c r="M81" s="2">
        <v>0.2</v>
      </c>
    </row>
    <row r="82" spans="1:13" x14ac:dyDescent="0.2">
      <c r="A82">
        <v>81</v>
      </c>
      <c r="B82">
        <f>80</f>
        <v>80</v>
      </c>
      <c r="C82" t="s">
        <v>108</v>
      </c>
      <c r="D82" t="s">
        <v>82</v>
      </c>
      <c r="E82">
        <v>69.8</v>
      </c>
      <c r="F82">
        <v>46.4</v>
      </c>
      <c r="G82">
        <v>57.5</v>
      </c>
      <c r="H82">
        <v>94.8</v>
      </c>
      <c r="I82">
        <v>99.9</v>
      </c>
      <c r="J82">
        <v>93.5</v>
      </c>
      <c r="K82" s="1">
        <v>32845</v>
      </c>
      <c r="L82">
        <v>29.1</v>
      </c>
      <c r="M82" s="2">
        <v>0.3</v>
      </c>
    </row>
    <row r="83" spans="1:13" x14ac:dyDescent="0.2">
      <c r="A83">
        <v>82</v>
      </c>
      <c r="B83">
        <v>82</v>
      </c>
      <c r="C83" t="s">
        <v>109</v>
      </c>
      <c r="D83" t="s">
        <v>89</v>
      </c>
      <c r="E83">
        <v>69.5</v>
      </c>
      <c r="F83">
        <v>65.2</v>
      </c>
      <c r="G83">
        <v>66.7</v>
      </c>
      <c r="H83">
        <v>78.3</v>
      </c>
      <c r="I83">
        <v>100</v>
      </c>
      <c r="J83">
        <v>45.7</v>
      </c>
      <c r="K83" s="1">
        <v>10156</v>
      </c>
      <c r="L83">
        <v>11.2</v>
      </c>
      <c r="M83" s="2">
        <v>0.11</v>
      </c>
    </row>
    <row r="84" spans="1:13" x14ac:dyDescent="0.2">
      <c r="A84">
        <v>83</v>
      </c>
      <c r="B84">
        <v>83</v>
      </c>
      <c r="C84" t="s">
        <v>110</v>
      </c>
      <c r="D84" t="s">
        <v>61</v>
      </c>
      <c r="E84">
        <v>69.099999999999994</v>
      </c>
      <c r="F84">
        <v>47.6</v>
      </c>
      <c r="G84">
        <v>57.4</v>
      </c>
      <c r="H84">
        <v>91.7</v>
      </c>
      <c r="I84">
        <v>98.2</v>
      </c>
      <c r="J84">
        <v>93.9</v>
      </c>
      <c r="K84" s="1">
        <v>46165</v>
      </c>
      <c r="L84">
        <v>35.6</v>
      </c>
      <c r="M84" s="2">
        <v>0.41</v>
      </c>
    </row>
    <row r="85" spans="1:13" x14ac:dyDescent="0.2">
      <c r="A85">
        <v>84</v>
      </c>
      <c r="B85">
        <f t="shared" ref="B85:B87" si="1">84</f>
        <v>84</v>
      </c>
      <c r="C85" t="s">
        <v>111</v>
      </c>
      <c r="D85" t="s">
        <v>45</v>
      </c>
      <c r="E85">
        <v>68</v>
      </c>
      <c r="F85">
        <v>53.3</v>
      </c>
      <c r="G85">
        <v>63.5</v>
      </c>
      <c r="H85">
        <v>84.9</v>
      </c>
      <c r="I85">
        <v>65.5</v>
      </c>
      <c r="J85">
        <v>76.8</v>
      </c>
      <c r="K85" s="1">
        <v>34916</v>
      </c>
      <c r="L85">
        <v>58</v>
      </c>
      <c r="M85" s="2">
        <v>0.18</v>
      </c>
    </row>
    <row r="86" spans="1:13" x14ac:dyDescent="0.2">
      <c r="A86">
        <v>85</v>
      </c>
      <c r="B86">
        <f t="shared" si="1"/>
        <v>84</v>
      </c>
      <c r="C86" t="s">
        <v>112</v>
      </c>
      <c r="D86" t="s">
        <v>56</v>
      </c>
      <c r="E86">
        <v>68</v>
      </c>
      <c r="F86">
        <v>46.1</v>
      </c>
      <c r="G86">
        <v>53.5</v>
      </c>
      <c r="H86">
        <v>92.8</v>
      </c>
      <c r="I86">
        <v>93.6</v>
      </c>
      <c r="J86">
        <v>97.7</v>
      </c>
      <c r="K86" s="1">
        <v>20387</v>
      </c>
      <c r="L86">
        <v>22.3</v>
      </c>
      <c r="M86" s="2">
        <v>0.35</v>
      </c>
    </row>
    <row r="87" spans="1:13" x14ac:dyDescent="0.2">
      <c r="A87">
        <v>86</v>
      </c>
      <c r="B87">
        <f t="shared" si="1"/>
        <v>84</v>
      </c>
      <c r="C87" t="s">
        <v>113</v>
      </c>
      <c r="D87" t="s">
        <v>16</v>
      </c>
      <c r="E87">
        <v>68</v>
      </c>
      <c r="F87">
        <v>58.6</v>
      </c>
      <c r="G87">
        <v>52.1</v>
      </c>
      <c r="H87">
        <v>87.9</v>
      </c>
      <c r="I87">
        <v>87.4</v>
      </c>
      <c r="J87">
        <v>76</v>
      </c>
      <c r="K87" s="1">
        <v>62044</v>
      </c>
      <c r="L87">
        <v>12.8</v>
      </c>
      <c r="M87" s="2">
        <v>0.14000000000000001</v>
      </c>
    </row>
    <row r="88" spans="1:13" x14ac:dyDescent="0.2">
      <c r="A88">
        <v>87</v>
      </c>
      <c r="B88">
        <f>87</f>
        <v>87</v>
      </c>
      <c r="C88" t="s">
        <v>114</v>
      </c>
      <c r="D88" t="s">
        <v>14</v>
      </c>
      <c r="E88">
        <v>67.8</v>
      </c>
      <c r="F88">
        <v>47.5</v>
      </c>
      <c r="G88">
        <v>51.4</v>
      </c>
      <c r="H88">
        <v>96</v>
      </c>
      <c r="I88">
        <v>72</v>
      </c>
      <c r="J88">
        <v>96</v>
      </c>
      <c r="K88" s="1">
        <v>36240</v>
      </c>
      <c r="L88">
        <v>15.1</v>
      </c>
      <c r="M88" s="2">
        <v>0.46</v>
      </c>
    </row>
    <row r="89" spans="1:13" x14ac:dyDescent="0.2">
      <c r="A89">
        <v>88</v>
      </c>
      <c r="B89">
        <f>87</f>
        <v>87</v>
      </c>
      <c r="C89" t="s">
        <v>115</v>
      </c>
      <c r="D89" t="s">
        <v>16</v>
      </c>
      <c r="E89">
        <v>67.8</v>
      </c>
      <c r="F89">
        <v>58.4</v>
      </c>
      <c r="G89">
        <v>59.6</v>
      </c>
      <c r="H89">
        <v>86</v>
      </c>
      <c r="I89">
        <v>99.9</v>
      </c>
      <c r="J89">
        <v>46.2</v>
      </c>
      <c r="K89" s="1">
        <v>58835</v>
      </c>
      <c r="L89">
        <v>12</v>
      </c>
      <c r="M89" s="2">
        <v>0.09</v>
      </c>
    </row>
    <row r="90" spans="1:13" x14ac:dyDescent="0.2">
      <c r="A90">
        <v>89</v>
      </c>
      <c r="B90">
        <v>89</v>
      </c>
      <c r="C90" t="s">
        <v>116</v>
      </c>
      <c r="D90" t="s">
        <v>45</v>
      </c>
      <c r="E90">
        <v>67.599999999999994</v>
      </c>
      <c r="F90">
        <v>51.8</v>
      </c>
      <c r="G90">
        <v>57.4</v>
      </c>
      <c r="H90">
        <v>89.2</v>
      </c>
      <c r="I90">
        <v>86.2</v>
      </c>
      <c r="J90">
        <v>72.400000000000006</v>
      </c>
      <c r="K90" s="1">
        <v>25027</v>
      </c>
      <c r="L90">
        <v>38.5</v>
      </c>
      <c r="M90" s="2">
        <v>0.15</v>
      </c>
    </row>
    <row r="91" spans="1:13" x14ac:dyDescent="0.2">
      <c r="A91">
        <v>90</v>
      </c>
      <c r="B91">
        <f>90</f>
        <v>90</v>
      </c>
      <c r="C91" t="s">
        <v>117</v>
      </c>
      <c r="D91" t="s">
        <v>16</v>
      </c>
      <c r="E91">
        <v>67.3</v>
      </c>
      <c r="F91">
        <v>48.3</v>
      </c>
      <c r="G91">
        <v>53.2</v>
      </c>
      <c r="H91">
        <v>92.9</v>
      </c>
      <c r="I91">
        <v>97.6</v>
      </c>
      <c r="J91">
        <v>78.099999999999994</v>
      </c>
      <c r="K91" s="1">
        <v>35218</v>
      </c>
      <c r="L91">
        <v>15.5</v>
      </c>
      <c r="M91" s="2">
        <v>0.25</v>
      </c>
    </row>
    <row r="92" spans="1:13" x14ac:dyDescent="0.2">
      <c r="A92">
        <v>91</v>
      </c>
      <c r="B92">
        <f>90</f>
        <v>90</v>
      </c>
      <c r="C92" t="s">
        <v>118</v>
      </c>
      <c r="D92" t="s">
        <v>16</v>
      </c>
      <c r="E92">
        <v>67.3</v>
      </c>
      <c r="F92">
        <v>53.3</v>
      </c>
      <c r="G92">
        <v>49</v>
      </c>
      <c r="H92">
        <v>95.9</v>
      </c>
      <c r="I92">
        <v>95</v>
      </c>
      <c r="J92">
        <v>63.5</v>
      </c>
      <c r="K92" s="1">
        <v>12863</v>
      </c>
      <c r="L92">
        <v>3.8</v>
      </c>
      <c r="M92" s="2">
        <v>0.18</v>
      </c>
    </row>
    <row r="93" spans="1:13" x14ac:dyDescent="0.2">
      <c r="A93">
        <v>92</v>
      </c>
      <c r="B93">
        <v>92</v>
      </c>
      <c r="C93" t="s">
        <v>119</v>
      </c>
      <c r="D93" t="s">
        <v>45</v>
      </c>
      <c r="E93">
        <v>67.2</v>
      </c>
      <c r="F93">
        <v>53.9</v>
      </c>
      <c r="G93">
        <v>64.2</v>
      </c>
      <c r="H93">
        <v>78</v>
      </c>
      <c r="I93">
        <v>100</v>
      </c>
      <c r="J93">
        <v>70.3</v>
      </c>
      <c r="K93" s="1">
        <v>29050</v>
      </c>
      <c r="L93">
        <v>37.1</v>
      </c>
      <c r="M93" s="2">
        <v>0.31</v>
      </c>
    </row>
    <row r="94" spans="1:13" x14ac:dyDescent="0.2">
      <c r="A94">
        <v>93</v>
      </c>
      <c r="B94">
        <f>93</f>
        <v>93</v>
      </c>
      <c r="C94" t="s">
        <v>120</v>
      </c>
      <c r="D94" t="s">
        <v>45</v>
      </c>
      <c r="E94">
        <v>67.099999999999994</v>
      </c>
      <c r="F94">
        <v>47.3</v>
      </c>
      <c r="G94">
        <v>49</v>
      </c>
      <c r="H94">
        <v>97.8</v>
      </c>
      <c r="I94">
        <v>100</v>
      </c>
      <c r="J94">
        <v>74.599999999999994</v>
      </c>
      <c r="K94" s="1">
        <v>9229</v>
      </c>
      <c r="L94">
        <v>18.100000000000001</v>
      </c>
      <c r="M94" s="2">
        <v>0.21</v>
      </c>
    </row>
    <row r="95" spans="1:13" x14ac:dyDescent="0.2">
      <c r="A95">
        <v>94</v>
      </c>
      <c r="B95">
        <f>93</f>
        <v>93</v>
      </c>
      <c r="C95" t="s">
        <v>121</v>
      </c>
      <c r="D95" t="s">
        <v>14</v>
      </c>
      <c r="E95">
        <v>67.099999999999994</v>
      </c>
      <c r="F95">
        <v>46.7</v>
      </c>
      <c r="G95">
        <v>50.5</v>
      </c>
      <c r="H95">
        <v>95.1</v>
      </c>
      <c r="I95">
        <v>75.3</v>
      </c>
      <c r="J95">
        <v>95.1</v>
      </c>
      <c r="K95" s="1">
        <v>32590</v>
      </c>
      <c r="L95">
        <v>14.8</v>
      </c>
      <c r="M95" s="2">
        <v>0.32</v>
      </c>
    </row>
    <row r="96" spans="1:13" x14ac:dyDescent="0.2">
      <c r="A96">
        <v>95</v>
      </c>
      <c r="B96">
        <f>95</f>
        <v>95</v>
      </c>
      <c r="C96" t="s">
        <v>122</v>
      </c>
      <c r="D96" t="s">
        <v>74</v>
      </c>
      <c r="E96">
        <v>66.900000000000006</v>
      </c>
      <c r="F96">
        <v>52.3</v>
      </c>
      <c r="G96">
        <v>58.3</v>
      </c>
      <c r="H96">
        <v>81.5</v>
      </c>
      <c r="I96">
        <v>97.3</v>
      </c>
      <c r="J96">
        <v>82.9</v>
      </c>
      <c r="K96" s="1">
        <v>13113</v>
      </c>
      <c r="L96">
        <v>15.6</v>
      </c>
      <c r="M96" s="2">
        <v>0.26</v>
      </c>
    </row>
    <row r="97" spans="1:13" x14ac:dyDescent="0.2">
      <c r="A97">
        <v>96</v>
      </c>
      <c r="B97">
        <f>95</f>
        <v>95</v>
      </c>
      <c r="C97" t="s">
        <v>123</v>
      </c>
      <c r="D97" t="s">
        <v>74</v>
      </c>
      <c r="E97">
        <v>66.900000000000006</v>
      </c>
      <c r="F97">
        <v>48.4</v>
      </c>
      <c r="G97">
        <v>58.4</v>
      </c>
      <c r="H97">
        <v>86</v>
      </c>
      <c r="I97">
        <v>99.8</v>
      </c>
      <c r="J97">
        <v>79.3</v>
      </c>
      <c r="K97" s="1">
        <v>23754</v>
      </c>
      <c r="L97">
        <v>10.5</v>
      </c>
      <c r="M97" s="2">
        <v>0.21</v>
      </c>
    </row>
    <row r="98" spans="1:13" x14ac:dyDescent="0.2">
      <c r="A98">
        <v>97</v>
      </c>
      <c r="B98">
        <v>97</v>
      </c>
      <c r="C98" t="s">
        <v>124</v>
      </c>
      <c r="D98" t="s">
        <v>125</v>
      </c>
      <c r="E98">
        <v>66.599999999999994</v>
      </c>
      <c r="F98">
        <v>49.1</v>
      </c>
      <c r="G98">
        <v>51.8</v>
      </c>
      <c r="H98">
        <v>92</v>
      </c>
      <c r="I98">
        <v>90.4</v>
      </c>
      <c r="J98">
        <v>79.3</v>
      </c>
      <c r="K98" s="1">
        <v>30962</v>
      </c>
      <c r="L98">
        <v>4.2</v>
      </c>
      <c r="M98" s="2">
        <v>0.14000000000000001</v>
      </c>
    </row>
    <row r="99" spans="1:13" x14ac:dyDescent="0.2">
      <c r="A99">
        <v>98</v>
      </c>
      <c r="B99">
        <f>98</f>
        <v>98</v>
      </c>
      <c r="C99" t="s">
        <v>126</v>
      </c>
      <c r="D99" t="s">
        <v>16</v>
      </c>
      <c r="E99">
        <v>66.3</v>
      </c>
      <c r="F99">
        <v>53.9</v>
      </c>
      <c r="G99">
        <v>46.2</v>
      </c>
      <c r="H99">
        <v>95.3</v>
      </c>
      <c r="I99">
        <v>83.6</v>
      </c>
      <c r="J99">
        <v>67.400000000000006</v>
      </c>
      <c r="K99" s="1">
        <v>13718</v>
      </c>
      <c r="L99">
        <v>4.2</v>
      </c>
      <c r="M99" s="2">
        <v>0.19</v>
      </c>
    </row>
    <row r="100" spans="1:13" x14ac:dyDescent="0.2">
      <c r="A100">
        <v>99</v>
      </c>
      <c r="B100">
        <f>98</f>
        <v>98</v>
      </c>
      <c r="C100" t="s">
        <v>127</v>
      </c>
      <c r="D100" t="s">
        <v>14</v>
      </c>
      <c r="E100">
        <v>66.3</v>
      </c>
      <c r="F100">
        <v>48.7</v>
      </c>
      <c r="G100">
        <v>49.1</v>
      </c>
      <c r="H100">
        <v>90.1</v>
      </c>
      <c r="I100">
        <v>94</v>
      </c>
      <c r="J100">
        <v>91.8</v>
      </c>
      <c r="K100" s="1">
        <v>28100</v>
      </c>
      <c r="L100">
        <v>14.9</v>
      </c>
      <c r="M100" s="2">
        <v>0.41</v>
      </c>
    </row>
    <row r="101" spans="1:13" x14ac:dyDescent="0.2">
      <c r="A101">
        <v>100</v>
      </c>
      <c r="B101">
        <f>100</f>
        <v>100</v>
      </c>
      <c r="C101" t="s">
        <v>128</v>
      </c>
      <c r="D101" t="s">
        <v>16</v>
      </c>
      <c r="E101">
        <v>66.2</v>
      </c>
      <c r="F101">
        <v>54.5</v>
      </c>
      <c r="G101">
        <v>62.3</v>
      </c>
      <c r="H101">
        <v>83</v>
      </c>
      <c r="I101">
        <v>70.900000000000006</v>
      </c>
      <c r="J101">
        <v>57.6</v>
      </c>
      <c r="K101" s="1">
        <v>47253</v>
      </c>
      <c r="L101">
        <v>14.6</v>
      </c>
      <c r="M101" s="2">
        <v>0.15</v>
      </c>
    </row>
    <row r="102" spans="1:13" x14ac:dyDescent="0.2">
      <c r="A102">
        <v>101</v>
      </c>
      <c r="B102">
        <f>100</f>
        <v>100</v>
      </c>
      <c r="C102" t="s">
        <v>129</v>
      </c>
      <c r="D102" t="s">
        <v>45</v>
      </c>
      <c r="E102">
        <v>66.2</v>
      </c>
      <c r="F102">
        <v>47.8</v>
      </c>
      <c r="G102">
        <v>55.1</v>
      </c>
      <c r="H102">
        <v>89</v>
      </c>
      <c r="I102">
        <v>99.8</v>
      </c>
      <c r="J102">
        <v>73</v>
      </c>
      <c r="K102" s="1">
        <v>21337</v>
      </c>
      <c r="L102">
        <v>27.8</v>
      </c>
      <c r="M102" s="2">
        <v>0.15</v>
      </c>
    </row>
    <row r="103" spans="1:13" x14ac:dyDescent="0.2">
      <c r="A103">
        <v>102</v>
      </c>
      <c r="B103">
        <f>102</f>
        <v>102</v>
      </c>
      <c r="C103" t="s">
        <v>130</v>
      </c>
      <c r="D103" t="s">
        <v>89</v>
      </c>
      <c r="E103">
        <v>66.099999999999994</v>
      </c>
      <c r="F103">
        <v>58.1</v>
      </c>
      <c r="G103">
        <v>56.7</v>
      </c>
      <c r="H103">
        <v>79.3</v>
      </c>
      <c r="I103">
        <v>99.5</v>
      </c>
      <c r="J103">
        <v>63.7</v>
      </c>
      <c r="K103" s="1">
        <v>20416</v>
      </c>
      <c r="L103">
        <v>17</v>
      </c>
      <c r="M103" s="2">
        <v>0.21</v>
      </c>
    </row>
    <row r="104" spans="1:13" x14ac:dyDescent="0.2">
      <c r="A104">
        <v>103</v>
      </c>
      <c r="B104">
        <f>102</f>
        <v>102</v>
      </c>
      <c r="C104" t="s">
        <v>131</v>
      </c>
      <c r="D104" t="s">
        <v>89</v>
      </c>
      <c r="E104">
        <v>66.099999999999994</v>
      </c>
      <c r="F104">
        <v>57.5</v>
      </c>
      <c r="G104">
        <v>56.2</v>
      </c>
      <c r="H104">
        <v>84.4</v>
      </c>
      <c r="I104">
        <v>99.9</v>
      </c>
      <c r="J104">
        <v>47.2</v>
      </c>
      <c r="K104" s="1">
        <v>19235</v>
      </c>
      <c r="L104">
        <v>14.4</v>
      </c>
      <c r="M104" s="2">
        <v>0.12</v>
      </c>
    </row>
    <row r="105" spans="1:13" x14ac:dyDescent="0.2">
      <c r="A105">
        <v>104</v>
      </c>
      <c r="B105">
        <f>104</f>
        <v>104</v>
      </c>
      <c r="C105" t="s">
        <v>132</v>
      </c>
      <c r="D105" t="s">
        <v>45</v>
      </c>
      <c r="E105">
        <v>65.8</v>
      </c>
      <c r="F105">
        <v>49.9</v>
      </c>
      <c r="G105">
        <v>59.6</v>
      </c>
      <c r="H105">
        <v>82.7</v>
      </c>
      <c r="I105">
        <v>71</v>
      </c>
      <c r="J105">
        <v>81.7</v>
      </c>
      <c r="K105" s="1">
        <v>24727</v>
      </c>
      <c r="L105">
        <v>42.5</v>
      </c>
      <c r="M105" s="2">
        <v>0.22</v>
      </c>
    </row>
    <row r="106" spans="1:13" x14ac:dyDescent="0.2">
      <c r="A106">
        <v>105</v>
      </c>
      <c r="B106">
        <f>104</f>
        <v>104</v>
      </c>
      <c r="C106" t="s">
        <v>133</v>
      </c>
      <c r="D106" t="s">
        <v>26</v>
      </c>
      <c r="E106">
        <v>65.8</v>
      </c>
      <c r="F106">
        <v>46.1</v>
      </c>
      <c r="G106">
        <v>47.9</v>
      </c>
      <c r="H106">
        <v>92.8</v>
      </c>
      <c r="I106">
        <v>99.1</v>
      </c>
      <c r="J106">
        <v>87.1</v>
      </c>
      <c r="K106" s="1">
        <v>12054</v>
      </c>
      <c r="L106">
        <v>17.7</v>
      </c>
      <c r="M106" s="2">
        <v>0.17</v>
      </c>
    </row>
    <row r="107" spans="1:13" x14ac:dyDescent="0.2">
      <c r="A107">
        <v>106</v>
      </c>
      <c r="B107">
        <v>106</v>
      </c>
      <c r="C107" t="s">
        <v>134</v>
      </c>
      <c r="D107" t="s">
        <v>14</v>
      </c>
      <c r="E107">
        <v>65.7</v>
      </c>
      <c r="F107">
        <v>47.9</v>
      </c>
      <c r="G107">
        <v>51.5</v>
      </c>
      <c r="H107">
        <v>89</v>
      </c>
      <c r="I107">
        <v>69.3</v>
      </c>
      <c r="J107">
        <v>96.2</v>
      </c>
      <c r="K107" s="1">
        <v>25490</v>
      </c>
      <c r="L107">
        <v>14.2</v>
      </c>
      <c r="M107" s="2">
        <v>0.45</v>
      </c>
    </row>
    <row r="108" spans="1:13" x14ac:dyDescent="0.2">
      <c r="A108">
        <v>107</v>
      </c>
      <c r="B108">
        <f t="shared" ref="B108:B110" si="2">107</f>
        <v>107</v>
      </c>
      <c r="C108" t="s">
        <v>135</v>
      </c>
      <c r="D108" t="s">
        <v>82</v>
      </c>
      <c r="E108">
        <v>65.599999999999994</v>
      </c>
      <c r="F108">
        <v>37.200000000000003</v>
      </c>
      <c r="G108">
        <v>53.3</v>
      </c>
      <c r="H108">
        <v>96.7</v>
      </c>
      <c r="I108">
        <v>88.7</v>
      </c>
      <c r="J108">
        <v>88.5</v>
      </c>
      <c r="K108" s="1">
        <v>31847</v>
      </c>
      <c r="L108">
        <v>22.1</v>
      </c>
      <c r="M108" s="2">
        <v>0.25</v>
      </c>
    </row>
    <row r="109" spans="1:13" x14ac:dyDescent="0.2">
      <c r="A109">
        <v>108</v>
      </c>
      <c r="B109">
        <f t="shared" si="2"/>
        <v>107</v>
      </c>
      <c r="C109" t="s">
        <v>136</v>
      </c>
      <c r="D109" t="s">
        <v>137</v>
      </c>
      <c r="E109">
        <v>65.599999999999994</v>
      </c>
      <c r="F109">
        <v>84.4</v>
      </c>
      <c r="G109">
        <v>74.400000000000006</v>
      </c>
      <c r="H109">
        <v>33.299999999999997</v>
      </c>
      <c r="I109">
        <v>91.4</v>
      </c>
      <c r="J109">
        <v>72.7</v>
      </c>
      <c r="K109" s="1">
        <v>33056</v>
      </c>
      <c r="L109">
        <v>9.6</v>
      </c>
      <c r="M109" s="2">
        <v>0.37</v>
      </c>
    </row>
    <row r="110" spans="1:13" x14ac:dyDescent="0.2">
      <c r="A110">
        <v>109</v>
      </c>
      <c r="B110">
        <f t="shared" si="2"/>
        <v>107</v>
      </c>
      <c r="C110" t="s">
        <v>138</v>
      </c>
      <c r="D110" t="s">
        <v>139</v>
      </c>
      <c r="E110">
        <v>65.599999999999994</v>
      </c>
      <c r="F110">
        <v>48.8</v>
      </c>
      <c r="G110">
        <v>58</v>
      </c>
      <c r="H110">
        <v>90.9</v>
      </c>
      <c r="I110">
        <v>68.2</v>
      </c>
      <c r="J110">
        <v>59.2</v>
      </c>
      <c r="K110" s="1">
        <v>23822</v>
      </c>
      <c r="L110">
        <v>16.5</v>
      </c>
      <c r="M110" s="2">
        <v>0.06</v>
      </c>
    </row>
    <row r="111" spans="1:13" x14ac:dyDescent="0.2">
      <c r="A111">
        <v>110</v>
      </c>
      <c r="B111">
        <f>110</f>
        <v>110</v>
      </c>
      <c r="C111" t="s">
        <v>140</v>
      </c>
      <c r="D111" t="s">
        <v>125</v>
      </c>
      <c r="E111">
        <v>65.5</v>
      </c>
      <c r="F111">
        <v>44.2</v>
      </c>
      <c r="G111">
        <v>59.4</v>
      </c>
      <c r="H111">
        <v>84.3</v>
      </c>
      <c r="I111">
        <v>99.7</v>
      </c>
      <c r="J111">
        <v>79.400000000000006</v>
      </c>
      <c r="K111" s="1">
        <v>25966</v>
      </c>
      <c r="L111">
        <v>12.8</v>
      </c>
      <c r="M111" s="2">
        <v>0.15</v>
      </c>
    </row>
    <row r="112" spans="1:13" x14ac:dyDescent="0.2">
      <c r="A112">
        <v>111</v>
      </c>
      <c r="B112">
        <f>110</f>
        <v>110</v>
      </c>
      <c r="C112" t="s">
        <v>141</v>
      </c>
      <c r="D112" t="s">
        <v>142</v>
      </c>
      <c r="E112">
        <v>65.5</v>
      </c>
      <c r="F112">
        <v>48</v>
      </c>
      <c r="G112">
        <v>61</v>
      </c>
      <c r="H112">
        <v>78.599999999999994</v>
      </c>
      <c r="I112">
        <v>74.5</v>
      </c>
      <c r="J112">
        <v>94.6</v>
      </c>
      <c r="K112" s="1">
        <v>30739</v>
      </c>
      <c r="L112">
        <v>37</v>
      </c>
      <c r="M112" s="2">
        <v>0.32</v>
      </c>
    </row>
    <row r="113" spans="1:13" x14ac:dyDescent="0.2">
      <c r="A113">
        <v>112</v>
      </c>
      <c r="B113">
        <f t="shared" ref="B113:B115" si="3">112</f>
        <v>112</v>
      </c>
      <c r="C113" t="s">
        <v>143</v>
      </c>
      <c r="D113" t="s">
        <v>67</v>
      </c>
      <c r="E113">
        <v>65.400000000000006</v>
      </c>
      <c r="F113">
        <v>47.7</v>
      </c>
      <c r="G113">
        <v>59.5</v>
      </c>
      <c r="H113">
        <v>84.2</v>
      </c>
      <c r="I113">
        <v>99.9</v>
      </c>
      <c r="J113">
        <v>64.7</v>
      </c>
      <c r="K113" s="1">
        <v>38420</v>
      </c>
      <c r="L113">
        <v>34.299999999999997</v>
      </c>
      <c r="M113" s="2">
        <v>0.11</v>
      </c>
    </row>
    <row r="114" spans="1:13" x14ac:dyDescent="0.2">
      <c r="A114">
        <v>113</v>
      </c>
      <c r="B114">
        <f t="shared" si="3"/>
        <v>112</v>
      </c>
      <c r="C114" t="s">
        <v>144</v>
      </c>
      <c r="D114" t="s">
        <v>16</v>
      </c>
      <c r="E114">
        <v>65.400000000000006</v>
      </c>
      <c r="F114">
        <v>55.1</v>
      </c>
      <c r="G114">
        <v>46.1</v>
      </c>
      <c r="H114">
        <v>88.4</v>
      </c>
      <c r="I114">
        <v>72.5</v>
      </c>
      <c r="J114">
        <v>85.2</v>
      </c>
      <c r="K114" s="1">
        <v>7994</v>
      </c>
      <c r="L114">
        <v>10.5</v>
      </c>
      <c r="M114" s="2">
        <v>0.3</v>
      </c>
    </row>
    <row r="115" spans="1:13" x14ac:dyDescent="0.2">
      <c r="A115">
        <v>114</v>
      </c>
      <c r="B115">
        <f t="shared" si="3"/>
        <v>112</v>
      </c>
      <c r="C115" t="s">
        <v>145</v>
      </c>
      <c r="D115" t="s">
        <v>16</v>
      </c>
      <c r="E115">
        <v>65.400000000000006</v>
      </c>
      <c r="F115">
        <v>49</v>
      </c>
      <c r="G115">
        <v>57.7</v>
      </c>
      <c r="H115">
        <v>92.1</v>
      </c>
      <c r="I115">
        <v>71.599999999999994</v>
      </c>
      <c r="J115">
        <v>49.4</v>
      </c>
      <c r="K115" s="1">
        <v>33914</v>
      </c>
      <c r="L115">
        <v>16.899999999999999</v>
      </c>
      <c r="M115" s="2">
        <v>0.09</v>
      </c>
    </row>
    <row r="116" spans="1:13" x14ac:dyDescent="0.2">
      <c r="A116">
        <v>115</v>
      </c>
      <c r="B116">
        <v>115</v>
      </c>
      <c r="C116" t="s">
        <v>146</v>
      </c>
      <c r="D116" t="s">
        <v>14</v>
      </c>
      <c r="E116">
        <v>65.3</v>
      </c>
      <c r="F116">
        <v>47.2</v>
      </c>
      <c r="G116">
        <v>47.7</v>
      </c>
      <c r="H116">
        <v>91.2</v>
      </c>
      <c r="I116">
        <v>72.7</v>
      </c>
      <c r="J116">
        <v>96.7</v>
      </c>
      <c r="K116" s="1">
        <v>23135</v>
      </c>
      <c r="L116">
        <v>14.7</v>
      </c>
      <c r="M116" s="2">
        <v>0.43</v>
      </c>
    </row>
    <row r="117" spans="1:13" x14ac:dyDescent="0.2">
      <c r="A117">
        <v>116</v>
      </c>
      <c r="B117">
        <f t="shared" ref="B117:B120" si="4">116</f>
        <v>116</v>
      </c>
      <c r="C117" t="s">
        <v>147</v>
      </c>
      <c r="D117" t="s">
        <v>39</v>
      </c>
      <c r="E117">
        <v>65.2</v>
      </c>
      <c r="F117">
        <v>41.2</v>
      </c>
      <c r="G117">
        <v>50.2</v>
      </c>
      <c r="H117">
        <v>93</v>
      </c>
      <c r="I117">
        <v>100</v>
      </c>
      <c r="J117">
        <v>87.6</v>
      </c>
      <c r="K117" s="1">
        <v>28046</v>
      </c>
      <c r="L117">
        <v>29.4</v>
      </c>
      <c r="M117" s="2">
        <v>0.22</v>
      </c>
    </row>
    <row r="118" spans="1:13" x14ac:dyDescent="0.2">
      <c r="A118">
        <v>117</v>
      </c>
      <c r="B118">
        <f t="shared" si="4"/>
        <v>116</v>
      </c>
      <c r="C118" t="s">
        <v>148</v>
      </c>
      <c r="D118" t="s">
        <v>16</v>
      </c>
      <c r="E118">
        <v>65.2</v>
      </c>
      <c r="F118">
        <v>55</v>
      </c>
      <c r="G118">
        <v>51.7</v>
      </c>
      <c r="H118">
        <v>87.6</v>
      </c>
      <c r="I118">
        <v>83.6</v>
      </c>
      <c r="J118">
        <v>58.4</v>
      </c>
      <c r="K118" s="1">
        <v>55115</v>
      </c>
      <c r="L118">
        <v>10.5</v>
      </c>
      <c r="M118" s="2">
        <v>0.12</v>
      </c>
    </row>
    <row r="119" spans="1:13" x14ac:dyDescent="0.2">
      <c r="A119">
        <v>118</v>
      </c>
      <c r="B119">
        <f t="shared" si="4"/>
        <v>116</v>
      </c>
      <c r="C119" t="s">
        <v>149</v>
      </c>
      <c r="D119" t="s">
        <v>39</v>
      </c>
      <c r="E119">
        <v>65.2</v>
      </c>
      <c r="F119">
        <v>48.2</v>
      </c>
      <c r="G119">
        <v>56.7</v>
      </c>
      <c r="H119">
        <v>79.3</v>
      </c>
      <c r="I119">
        <v>100</v>
      </c>
      <c r="J119">
        <v>90.4</v>
      </c>
      <c r="K119" s="1">
        <v>34169</v>
      </c>
      <c r="L119">
        <v>23.9</v>
      </c>
      <c r="M119" s="2">
        <v>0.27</v>
      </c>
    </row>
    <row r="120" spans="1:13" x14ac:dyDescent="0.2">
      <c r="A120">
        <v>119</v>
      </c>
      <c r="B120">
        <f t="shared" si="4"/>
        <v>116</v>
      </c>
      <c r="C120" t="s">
        <v>150</v>
      </c>
      <c r="D120" t="s">
        <v>151</v>
      </c>
      <c r="E120">
        <v>65.2</v>
      </c>
      <c r="F120">
        <v>46.6</v>
      </c>
      <c r="G120">
        <v>52.4</v>
      </c>
      <c r="H120">
        <v>91.6</v>
      </c>
      <c r="I120">
        <v>74.5</v>
      </c>
      <c r="J120">
        <v>77.7</v>
      </c>
      <c r="K120" s="1">
        <v>19971</v>
      </c>
      <c r="L120">
        <v>11.7</v>
      </c>
      <c r="M120" s="2">
        <v>0.17</v>
      </c>
    </row>
    <row r="121" spans="1:13" x14ac:dyDescent="0.2">
      <c r="A121">
        <v>120</v>
      </c>
      <c r="B121">
        <v>120</v>
      </c>
      <c r="C121" t="s">
        <v>152</v>
      </c>
      <c r="D121" t="s">
        <v>48</v>
      </c>
      <c r="E121">
        <v>65</v>
      </c>
      <c r="F121">
        <v>69</v>
      </c>
      <c r="G121">
        <v>69.599999999999994</v>
      </c>
      <c r="H121">
        <v>53.1</v>
      </c>
      <c r="I121">
        <v>100</v>
      </c>
      <c r="J121">
        <v>59.9</v>
      </c>
      <c r="K121" s="1">
        <v>17218</v>
      </c>
      <c r="L121">
        <v>12.3</v>
      </c>
      <c r="M121" s="2">
        <v>0.12</v>
      </c>
    </row>
    <row r="122" spans="1:13" x14ac:dyDescent="0.2">
      <c r="A122">
        <v>121</v>
      </c>
      <c r="B122">
        <v>121</v>
      </c>
      <c r="C122" t="s">
        <v>153</v>
      </c>
      <c r="D122" t="s">
        <v>45</v>
      </c>
      <c r="E122">
        <v>64.8</v>
      </c>
      <c r="F122">
        <v>49.2</v>
      </c>
      <c r="G122">
        <v>54</v>
      </c>
      <c r="H122">
        <v>88.2</v>
      </c>
      <c r="I122">
        <v>70.7</v>
      </c>
      <c r="J122">
        <v>70.5</v>
      </c>
      <c r="K122" s="1">
        <v>21729</v>
      </c>
      <c r="L122">
        <v>25.2</v>
      </c>
      <c r="M122" s="2">
        <v>0.14000000000000001</v>
      </c>
    </row>
    <row r="123" spans="1:13" x14ac:dyDescent="0.2">
      <c r="A123">
        <v>122</v>
      </c>
      <c r="B123">
        <v>122</v>
      </c>
      <c r="C123" t="s">
        <v>154</v>
      </c>
      <c r="D123" t="s">
        <v>16</v>
      </c>
      <c r="E123">
        <v>64.7</v>
      </c>
      <c r="F123">
        <v>54.9</v>
      </c>
      <c r="G123">
        <v>53.5</v>
      </c>
      <c r="H123">
        <v>83.5</v>
      </c>
      <c r="I123">
        <v>70</v>
      </c>
      <c r="J123">
        <v>69.099999999999994</v>
      </c>
      <c r="K123" s="1">
        <v>44672</v>
      </c>
      <c r="L123">
        <v>16.100000000000001</v>
      </c>
      <c r="M123" s="2">
        <v>0.1</v>
      </c>
    </row>
    <row r="124" spans="1:13" x14ac:dyDescent="0.2">
      <c r="A124">
        <v>123</v>
      </c>
      <c r="B124">
        <v>123</v>
      </c>
      <c r="C124" t="s">
        <v>155</v>
      </c>
      <c r="D124" t="s">
        <v>14</v>
      </c>
      <c r="E124">
        <v>64.5</v>
      </c>
      <c r="F124">
        <v>46.4</v>
      </c>
      <c r="G124">
        <v>51</v>
      </c>
      <c r="H124">
        <v>87</v>
      </c>
      <c r="I124">
        <v>71.2</v>
      </c>
      <c r="J124">
        <v>94.6</v>
      </c>
      <c r="K124" s="1">
        <v>35710</v>
      </c>
      <c r="L124">
        <v>15.1</v>
      </c>
      <c r="M124" s="2">
        <v>0.38</v>
      </c>
    </row>
    <row r="125" spans="1:13" x14ac:dyDescent="0.2">
      <c r="A125">
        <v>124</v>
      </c>
      <c r="B125">
        <v>124</v>
      </c>
      <c r="C125" t="s">
        <v>156</v>
      </c>
      <c r="D125" t="s">
        <v>125</v>
      </c>
      <c r="E125">
        <v>64.400000000000006</v>
      </c>
      <c r="F125">
        <v>49.8</v>
      </c>
      <c r="G125">
        <v>46.8</v>
      </c>
      <c r="H125">
        <v>84</v>
      </c>
      <c r="I125">
        <v>99.8</v>
      </c>
      <c r="J125">
        <v>92.2</v>
      </c>
      <c r="K125" s="1">
        <v>10492</v>
      </c>
      <c r="L125">
        <v>8</v>
      </c>
      <c r="M125" s="2">
        <v>0.3</v>
      </c>
    </row>
    <row r="126" spans="1:13" x14ac:dyDescent="0.2">
      <c r="A126">
        <v>125</v>
      </c>
      <c r="B126">
        <v>125</v>
      </c>
      <c r="C126" t="s">
        <v>157</v>
      </c>
      <c r="D126" t="s">
        <v>39</v>
      </c>
      <c r="E126">
        <v>64.3</v>
      </c>
      <c r="F126">
        <v>49.3</v>
      </c>
      <c r="G126">
        <v>53.2</v>
      </c>
      <c r="H126">
        <v>79.5</v>
      </c>
      <c r="I126">
        <v>97.8</v>
      </c>
      <c r="J126">
        <v>86.8</v>
      </c>
      <c r="K126" s="1">
        <v>39359</v>
      </c>
      <c r="L126">
        <v>20.2</v>
      </c>
      <c r="M126" s="2">
        <v>0.23</v>
      </c>
    </row>
    <row r="127" spans="1:13" x14ac:dyDescent="0.2">
      <c r="A127">
        <v>126</v>
      </c>
      <c r="B127">
        <v>126</v>
      </c>
      <c r="C127" t="s">
        <v>158</v>
      </c>
      <c r="D127" t="s">
        <v>26</v>
      </c>
      <c r="E127">
        <v>64.2</v>
      </c>
      <c r="F127">
        <v>50.5</v>
      </c>
      <c r="G127">
        <v>42.7</v>
      </c>
      <c r="H127">
        <v>86</v>
      </c>
      <c r="I127">
        <v>99.7</v>
      </c>
      <c r="J127">
        <v>95.1</v>
      </c>
      <c r="K127" s="1">
        <v>8527</v>
      </c>
      <c r="L127">
        <v>10.199999999999999</v>
      </c>
      <c r="M127" s="2">
        <v>0.33</v>
      </c>
    </row>
    <row r="128" spans="1:13" x14ac:dyDescent="0.2">
      <c r="A128">
        <v>127</v>
      </c>
      <c r="B128">
        <v>127</v>
      </c>
      <c r="C128" t="s">
        <v>159</v>
      </c>
      <c r="D128" t="s">
        <v>16</v>
      </c>
      <c r="E128">
        <v>63.9</v>
      </c>
      <c r="F128">
        <v>50.8</v>
      </c>
      <c r="G128">
        <v>44.5</v>
      </c>
      <c r="H128">
        <v>87.8</v>
      </c>
      <c r="I128">
        <v>91.6</v>
      </c>
      <c r="J128">
        <v>80.099999999999994</v>
      </c>
      <c r="K128" s="1">
        <v>10470</v>
      </c>
      <c r="L128">
        <v>8.3000000000000007</v>
      </c>
      <c r="M128" s="2">
        <v>0.37</v>
      </c>
    </row>
    <row r="129" spans="1:13" x14ac:dyDescent="0.2">
      <c r="A129">
        <v>128</v>
      </c>
      <c r="B129">
        <f>128</f>
        <v>128</v>
      </c>
      <c r="C129" t="s">
        <v>160</v>
      </c>
      <c r="D129" t="s">
        <v>61</v>
      </c>
      <c r="E129">
        <v>63.8</v>
      </c>
      <c r="F129">
        <v>39.1</v>
      </c>
      <c r="G129">
        <v>48.1</v>
      </c>
      <c r="H129">
        <v>92.3</v>
      </c>
      <c r="I129">
        <v>93.5</v>
      </c>
      <c r="J129">
        <v>92</v>
      </c>
      <c r="K129" s="1">
        <v>22577</v>
      </c>
      <c r="L129">
        <v>31.4</v>
      </c>
      <c r="M129" s="2">
        <v>0.3</v>
      </c>
    </row>
    <row r="130" spans="1:13" x14ac:dyDescent="0.2">
      <c r="A130">
        <v>129</v>
      </c>
      <c r="B130">
        <f>128</f>
        <v>128</v>
      </c>
      <c r="C130" t="s">
        <v>161</v>
      </c>
      <c r="D130" t="s">
        <v>45</v>
      </c>
      <c r="E130">
        <v>63.8</v>
      </c>
      <c r="F130">
        <v>45.4</v>
      </c>
      <c r="G130">
        <v>51.3</v>
      </c>
      <c r="H130">
        <v>86.9</v>
      </c>
      <c r="I130">
        <v>100</v>
      </c>
      <c r="J130">
        <v>73.099999999999994</v>
      </c>
      <c r="K130" s="1">
        <v>20268</v>
      </c>
      <c r="L130">
        <v>36.9</v>
      </c>
      <c r="M130" s="2">
        <v>0.18</v>
      </c>
    </row>
    <row r="131" spans="1:13" x14ac:dyDescent="0.2">
      <c r="A131">
        <v>130</v>
      </c>
      <c r="B131">
        <f>130</f>
        <v>130</v>
      </c>
      <c r="C131" t="s">
        <v>162</v>
      </c>
      <c r="D131" t="s">
        <v>16</v>
      </c>
      <c r="E131">
        <v>63.6</v>
      </c>
      <c r="F131">
        <v>54.4</v>
      </c>
      <c r="G131">
        <v>56.8</v>
      </c>
      <c r="H131">
        <v>79.099999999999994</v>
      </c>
      <c r="I131">
        <v>89.9</v>
      </c>
      <c r="J131">
        <v>50.7</v>
      </c>
      <c r="K131" s="1">
        <v>47534</v>
      </c>
      <c r="L131">
        <v>15.9</v>
      </c>
      <c r="M131" s="2">
        <v>0.1</v>
      </c>
    </row>
    <row r="132" spans="1:13" x14ac:dyDescent="0.2">
      <c r="A132">
        <v>131</v>
      </c>
      <c r="B132">
        <f>130</f>
        <v>130</v>
      </c>
      <c r="C132" t="s">
        <v>163</v>
      </c>
      <c r="D132" t="s">
        <v>74</v>
      </c>
      <c r="E132">
        <v>63.6</v>
      </c>
      <c r="F132">
        <v>44.2</v>
      </c>
      <c r="G132">
        <v>55.4</v>
      </c>
      <c r="H132">
        <v>83.4</v>
      </c>
      <c r="I132">
        <v>96.1</v>
      </c>
      <c r="J132">
        <v>74.599999999999994</v>
      </c>
      <c r="K132" s="1">
        <v>24313</v>
      </c>
      <c r="L132">
        <v>12.6</v>
      </c>
      <c r="M132" s="2">
        <v>0.18</v>
      </c>
    </row>
    <row r="133" spans="1:13" x14ac:dyDescent="0.2">
      <c r="A133">
        <v>132</v>
      </c>
      <c r="B133">
        <f>132</f>
        <v>132</v>
      </c>
      <c r="C133" t="s">
        <v>164</v>
      </c>
      <c r="D133" t="s">
        <v>82</v>
      </c>
      <c r="E133">
        <v>63.2</v>
      </c>
      <c r="F133">
        <v>40.299999999999997</v>
      </c>
      <c r="G133">
        <v>46.7</v>
      </c>
      <c r="H133">
        <v>88.6</v>
      </c>
      <c r="I133">
        <v>98.3</v>
      </c>
      <c r="J133">
        <v>97.1</v>
      </c>
      <c r="K133" s="1">
        <v>21438</v>
      </c>
      <c r="L133">
        <v>19.2</v>
      </c>
      <c r="M133" s="2">
        <v>0.57999999999999996</v>
      </c>
    </row>
    <row r="134" spans="1:13" x14ac:dyDescent="0.2">
      <c r="A134">
        <v>133</v>
      </c>
      <c r="B134">
        <f>132</f>
        <v>132</v>
      </c>
      <c r="C134" t="s">
        <v>165</v>
      </c>
      <c r="D134" t="s">
        <v>45</v>
      </c>
      <c r="E134">
        <v>63.2</v>
      </c>
      <c r="F134">
        <v>44.5</v>
      </c>
      <c r="G134">
        <v>53.5</v>
      </c>
      <c r="H134">
        <v>85.2</v>
      </c>
      <c r="I134">
        <v>99.6</v>
      </c>
      <c r="J134">
        <v>66.3</v>
      </c>
      <c r="K134" s="1">
        <v>28410</v>
      </c>
      <c r="L134">
        <v>57.3</v>
      </c>
      <c r="M134" s="2">
        <v>0.13</v>
      </c>
    </row>
    <row r="135" spans="1:13" x14ac:dyDescent="0.2">
      <c r="A135">
        <v>134</v>
      </c>
      <c r="B135">
        <f>134</f>
        <v>134</v>
      </c>
      <c r="C135" t="s">
        <v>166</v>
      </c>
      <c r="D135" t="s">
        <v>26</v>
      </c>
      <c r="E135">
        <v>63</v>
      </c>
      <c r="F135">
        <v>41</v>
      </c>
      <c r="G135">
        <v>46</v>
      </c>
      <c r="H135">
        <v>89.5</v>
      </c>
      <c r="I135">
        <v>99</v>
      </c>
      <c r="J135">
        <v>89.8</v>
      </c>
      <c r="K135" s="1">
        <v>14512</v>
      </c>
      <c r="L135">
        <v>10.1</v>
      </c>
      <c r="M135" s="2">
        <v>0.23</v>
      </c>
    </row>
    <row r="136" spans="1:13" x14ac:dyDescent="0.2">
      <c r="A136">
        <v>135</v>
      </c>
      <c r="B136">
        <f>134</f>
        <v>134</v>
      </c>
      <c r="C136" t="s">
        <v>167</v>
      </c>
      <c r="D136" t="s">
        <v>28</v>
      </c>
      <c r="E136">
        <v>63</v>
      </c>
      <c r="F136">
        <v>52.8</v>
      </c>
      <c r="G136">
        <v>46.3</v>
      </c>
      <c r="H136">
        <v>90.1</v>
      </c>
      <c r="I136">
        <v>98.2</v>
      </c>
      <c r="J136">
        <v>40.9</v>
      </c>
      <c r="K136" s="1">
        <v>49929</v>
      </c>
      <c r="L136">
        <v>13.8</v>
      </c>
      <c r="M136" s="2">
        <v>0.06</v>
      </c>
    </row>
    <row r="137" spans="1:13" x14ac:dyDescent="0.2">
      <c r="A137">
        <v>136</v>
      </c>
      <c r="B137">
        <f t="shared" ref="B137:B139" si="5">136</f>
        <v>136</v>
      </c>
      <c r="C137" t="s">
        <v>168</v>
      </c>
      <c r="D137" t="s">
        <v>16</v>
      </c>
      <c r="E137">
        <v>62.7</v>
      </c>
      <c r="F137">
        <v>48</v>
      </c>
      <c r="G137">
        <v>52.8</v>
      </c>
      <c r="H137">
        <v>86.3</v>
      </c>
      <c r="I137">
        <v>81</v>
      </c>
      <c r="J137">
        <v>54.5</v>
      </c>
      <c r="K137" s="1">
        <v>47926</v>
      </c>
      <c r="L137">
        <v>19.600000000000001</v>
      </c>
      <c r="M137" s="2">
        <v>7.0000000000000007E-2</v>
      </c>
    </row>
    <row r="138" spans="1:13" x14ac:dyDescent="0.2">
      <c r="A138">
        <v>137</v>
      </c>
      <c r="B138">
        <f t="shared" si="5"/>
        <v>136</v>
      </c>
      <c r="C138" t="s">
        <v>169</v>
      </c>
      <c r="D138" t="s">
        <v>14</v>
      </c>
      <c r="E138">
        <v>62.7</v>
      </c>
      <c r="F138">
        <v>43.6</v>
      </c>
      <c r="G138">
        <v>46.2</v>
      </c>
      <c r="H138">
        <v>88.3</v>
      </c>
      <c r="I138">
        <v>71.8</v>
      </c>
      <c r="J138">
        <v>93.6</v>
      </c>
      <c r="K138" s="1">
        <v>35030</v>
      </c>
      <c r="L138">
        <v>16.100000000000001</v>
      </c>
      <c r="M138" s="2">
        <v>0.28999999999999998</v>
      </c>
    </row>
    <row r="139" spans="1:13" x14ac:dyDescent="0.2">
      <c r="A139">
        <v>138</v>
      </c>
      <c r="B139">
        <f t="shared" si="5"/>
        <v>136</v>
      </c>
      <c r="C139" t="s">
        <v>170</v>
      </c>
      <c r="D139" t="s">
        <v>82</v>
      </c>
      <c r="E139">
        <v>62.7</v>
      </c>
      <c r="F139">
        <v>37.4</v>
      </c>
      <c r="G139">
        <v>49.6</v>
      </c>
      <c r="H139">
        <v>92.9</v>
      </c>
      <c r="I139">
        <v>73</v>
      </c>
      <c r="J139">
        <v>86.2</v>
      </c>
      <c r="K139" s="1">
        <v>31761</v>
      </c>
      <c r="L139">
        <v>17.5</v>
      </c>
      <c r="M139" s="2">
        <v>0.2</v>
      </c>
    </row>
    <row r="140" spans="1:13" x14ac:dyDescent="0.2">
      <c r="A140">
        <v>139</v>
      </c>
      <c r="B140">
        <v>139</v>
      </c>
      <c r="C140" t="s">
        <v>171</v>
      </c>
      <c r="D140" t="s">
        <v>172</v>
      </c>
      <c r="E140">
        <v>62.5</v>
      </c>
      <c r="F140">
        <v>43.3</v>
      </c>
      <c r="G140">
        <v>47.7</v>
      </c>
      <c r="H140">
        <v>85.8</v>
      </c>
      <c r="I140">
        <v>83.5</v>
      </c>
      <c r="J140">
        <v>91.6</v>
      </c>
      <c r="K140" s="1">
        <v>19659</v>
      </c>
      <c r="L140">
        <v>23.2</v>
      </c>
      <c r="M140" s="2">
        <v>0.39</v>
      </c>
    </row>
    <row r="141" spans="1:13" x14ac:dyDescent="0.2">
      <c r="A141">
        <v>140</v>
      </c>
      <c r="B141">
        <v>140</v>
      </c>
      <c r="C141" t="s">
        <v>173</v>
      </c>
      <c r="D141" t="s">
        <v>45</v>
      </c>
      <c r="E141">
        <v>62.4</v>
      </c>
      <c r="F141">
        <v>45.4</v>
      </c>
      <c r="G141">
        <v>54.7</v>
      </c>
      <c r="H141">
        <v>79.5</v>
      </c>
      <c r="I141">
        <v>99.7</v>
      </c>
      <c r="J141">
        <v>71.400000000000006</v>
      </c>
      <c r="K141" s="1">
        <v>20260</v>
      </c>
      <c r="L141">
        <v>48.2</v>
      </c>
      <c r="M141" s="2">
        <v>0.28000000000000003</v>
      </c>
    </row>
    <row r="142" spans="1:13" x14ac:dyDescent="0.2">
      <c r="A142">
        <v>141</v>
      </c>
      <c r="B142">
        <f>141</f>
        <v>141</v>
      </c>
      <c r="C142" t="s">
        <v>174</v>
      </c>
      <c r="D142" t="s">
        <v>14</v>
      </c>
      <c r="E142">
        <v>62.3</v>
      </c>
      <c r="F142">
        <v>36.1</v>
      </c>
      <c r="G142">
        <v>42.3</v>
      </c>
      <c r="H142">
        <v>97.1</v>
      </c>
      <c r="I142">
        <v>72.5</v>
      </c>
      <c r="J142">
        <v>98</v>
      </c>
      <c r="K142" s="1">
        <v>25110</v>
      </c>
      <c r="L142">
        <v>15.7</v>
      </c>
      <c r="M142" s="2">
        <v>0.47</v>
      </c>
    </row>
    <row r="143" spans="1:13" x14ac:dyDescent="0.2">
      <c r="A143">
        <v>142</v>
      </c>
      <c r="B143">
        <f>141</f>
        <v>141</v>
      </c>
      <c r="C143" t="s">
        <v>175</v>
      </c>
      <c r="D143" t="s">
        <v>16</v>
      </c>
      <c r="E143">
        <v>62.3</v>
      </c>
      <c r="F143">
        <v>48.6</v>
      </c>
      <c r="G143">
        <v>45.7</v>
      </c>
      <c r="H143">
        <v>93</v>
      </c>
      <c r="I143">
        <v>76.2</v>
      </c>
      <c r="J143">
        <v>49.8</v>
      </c>
      <c r="K143" s="1">
        <v>27456</v>
      </c>
      <c r="L143">
        <v>5.5</v>
      </c>
      <c r="M143" s="2">
        <v>0.1</v>
      </c>
    </row>
    <row r="144" spans="1:13" x14ac:dyDescent="0.2">
      <c r="A144">
        <v>143</v>
      </c>
      <c r="B144">
        <f t="shared" ref="B144:B146" si="6">143</f>
        <v>143</v>
      </c>
      <c r="C144" t="s">
        <v>176</v>
      </c>
      <c r="D144" t="s">
        <v>82</v>
      </c>
      <c r="E144">
        <v>62.2</v>
      </c>
      <c r="F144">
        <v>38.4</v>
      </c>
      <c r="G144">
        <v>50.4</v>
      </c>
      <c r="H144">
        <v>90.4</v>
      </c>
      <c r="I144">
        <v>81</v>
      </c>
      <c r="J144">
        <v>79</v>
      </c>
      <c r="K144" s="1">
        <v>23582</v>
      </c>
      <c r="L144">
        <v>17.5</v>
      </c>
      <c r="M144" s="2">
        <v>0.13</v>
      </c>
    </row>
    <row r="145" spans="1:13" x14ac:dyDescent="0.2">
      <c r="A145">
        <v>144</v>
      </c>
      <c r="B145">
        <f t="shared" si="6"/>
        <v>143</v>
      </c>
      <c r="C145" t="s">
        <v>177</v>
      </c>
      <c r="D145" t="s">
        <v>16</v>
      </c>
      <c r="E145">
        <v>62.2</v>
      </c>
      <c r="F145">
        <v>52.7</v>
      </c>
      <c r="G145">
        <v>57.3</v>
      </c>
      <c r="H145">
        <v>74.3</v>
      </c>
      <c r="I145">
        <v>73.2</v>
      </c>
      <c r="J145">
        <v>64.3</v>
      </c>
      <c r="K145" s="1">
        <v>66907</v>
      </c>
      <c r="L145">
        <v>21.8</v>
      </c>
      <c r="M145" s="2">
        <v>0.08</v>
      </c>
    </row>
    <row r="146" spans="1:13" x14ac:dyDescent="0.2">
      <c r="A146">
        <v>145</v>
      </c>
      <c r="B146">
        <f t="shared" si="6"/>
        <v>143</v>
      </c>
      <c r="C146" t="s">
        <v>178</v>
      </c>
      <c r="D146" t="s">
        <v>16</v>
      </c>
      <c r="E146">
        <v>62.2</v>
      </c>
      <c r="F146">
        <v>47</v>
      </c>
      <c r="G146">
        <v>52.6</v>
      </c>
      <c r="H146">
        <v>86.6</v>
      </c>
      <c r="I146">
        <v>73.3</v>
      </c>
      <c r="J146">
        <v>56.3</v>
      </c>
      <c r="K146" s="1">
        <v>36067</v>
      </c>
      <c r="L146">
        <v>16.7</v>
      </c>
      <c r="M146" s="2">
        <v>0.09</v>
      </c>
    </row>
    <row r="147" spans="1:13" x14ac:dyDescent="0.2">
      <c r="A147">
        <v>146</v>
      </c>
      <c r="B147">
        <f t="shared" ref="B147:B149" si="7">146</f>
        <v>146</v>
      </c>
      <c r="C147" t="s">
        <v>179</v>
      </c>
      <c r="D147" t="s">
        <v>28</v>
      </c>
      <c r="E147">
        <v>62.1</v>
      </c>
      <c r="F147">
        <v>57.5</v>
      </c>
      <c r="G147">
        <v>48.4</v>
      </c>
      <c r="H147">
        <v>79.900000000000006</v>
      </c>
      <c r="I147">
        <v>80.7</v>
      </c>
      <c r="J147">
        <v>52</v>
      </c>
      <c r="K147" s="1">
        <v>27882</v>
      </c>
      <c r="L147">
        <v>14.8</v>
      </c>
      <c r="M147" s="2">
        <v>0.08</v>
      </c>
    </row>
    <row r="148" spans="1:13" x14ac:dyDescent="0.2">
      <c r="A148">
        <v>147</v>
      </c>
      <c r="B148">
        <f t="shared" si="7"/>
        <v>146</v>
      </c>
      <c r="C148" t="s">
        <v>180</v>
      </c>
      <c r="D148" t="s">
        <v>181</v>
      </c>
      <c r="E148">
        <v>62.1</v>
      </c>
      <c r="F148">
        <v>53.1</v>
      </c>
      <c r="G148">
        <v>47.7</v>
      </c>
      <c r="H148">
        <v>83.8</v>
      </c>
      <c r="I148">
        <v>79.8</v>
      </c>
      <c r="J148">
        <v>57</v>
      </c>
      <c r="K148" s="1">
        <v>76955</v>
      </c>
      <c r="L148">
        <v>24.2</v>
      </c>
      <c r="M148" s="2">
        <v>0.14000000000000001</v>
      </c>
    </row>
    <row r="149" spans="1:13" x14ac:dyDescent="0.2">
      <c r="A149">
        <v>148</v>
      </c>
      <c r="B149">
        <f t="shared" si="7"/>
        <v>146</v>
      </c>
      <c r="C149" t="s">
        <v>182</v>
      </c>
      <c r="D149" t="s">
        <v>14</v>
      </c>
      <c r="E149">
        <v>62.1</v>
      </c>
      <c r="F149">
        <v>42.4</v>
      </c>
      <c r="G149">
        <v>44.2</v>
      </c>
      <c r="H149">
        <v>90.6</v>
      </c>
      <c r="I149">
        <v>66.8</v>
      </c>
      <c r="J149">
        <v>92.9</v>
      </c>
      <c r="K149" s="1">
        <v>20135</v>
      </c>
      <c r="L149">
        <v>15.3</v>
      </c>
      <c r="M149" s="2">
        <v>0.31</v>
      </c>
    </row>
    <row r="150" spans="1:13" x14ac:dyDescent="0.2">
      <c r="A150">
        <v>149</v>
      </c>
      <c r="B150">
        <f>149</f>
        <v>149</v>
      </c>
      <c r="C150" t="s">
        <v>183</v>
      </c>
      <c r="D150" t="s">
        <v>61</v>
      </c>
      <c r="E150">
        <v>62</v>
      </c>
      <c r="F150">
        <v>37.799999999999997</v>
      </c>
      <c r="G150">
        <v>47.2</v>
      </c>
      <c r="H150">
        <v>87.6</v>
      </c>
      <c r="I150">
        <v>98.3</v>
      </c>
      <c r="J150">
        <v>93</v>
      </c>
      <c r="K150" s="1">
        <v>19214</v>
      </c>
      <c r="L150">
        <v>22.9</v>
      </c>
      <c r="M150" s="2">
        <v>0.26</v>
      </c>
    </row>
    <row r="151" spans="1:13" x14ac:dyDescent="0.2">
      <c r="A151">
        <v>150</v>
      </c>
      <c r="B151">
        <f>149</f>
        <v>149</v>
      </c>
      <c r="C151" t="s">
        <v>184</v>
      </c>
      <c r="D151" t="s">
        <v>185</v>
      </c>
      <c r="E151">
        <v>62</v>
      </c>
      <c r="F151">
        <v>41.6</v>
      </c>
      <c r="G151">
        <v>50.1</v>
      </c>
      <c r="H151">
        <v>90.2</v>
      </c>
      <c r="I151">
        <v>80.5</v>
      </c>
      <c r="J151">
        <v>65.599999999999994</v>
      </c>
      <c r="K151" s="1">
        <v>45402</v>
      </c>
      <c r="L151">
        <v>15.2</v>
      </c>
      <c r="M151" s="2">
        <v>0.12</v>
      </c>
    </row>
    <row r="152" spans="1:13" x14ac:dyDescent="0.2">
      <c r="A152">
        <v>151</v>
      </c>
      <c r="B152">
        <v>151</v>
      </c>
      <c r="C152" t="s">
        <v>186</v>
      </c>
      <c r="D152" t="s">
        <v>89</v>
      </c>
      <c r="E152">
        <v>61.9</v>
      </c>
      <c r="F152">
        <v>55.9</v>
      </c>
      <c r="G152">
        <v>50</v>
      </c>
      <c r="H152">
        <v>78.8</v>
      </c>
      <c r="I152">
        <v>100</v>
      </c>
      <c r="J152">
        <v>43</v>
      </c>
      <c r="K152" s="1">
        <v>3245</v>
      </c>
      <c r="L152">
        <v>10.5</v>
      </c>
      <c r="M152" s="2">
        <v>0.08</v>
      </c>
    </row>
    <row r="153" spans="1:13" x14ac:dyDescent="0.2">
      <c r="A153">
        <v>152</v>
      </c>
      <c r="B153">
        <f>152</f>
        <v>152</v>
      </c>
      <c r="C153" t="s">
        <v>187</v>
      </c>
      <c r="D153" t="s">
        <v>28</v>
      </c>
      <c r="E153">
        <v>61.8</v>
      </c>
      <c r="F153">
        <v>57.3</v>
      </c>
      <c r="G153">
        <v>55.2</v>
      </c>
      <c r="H153">
        <v>74.7</v>
      </c>
      <c r="I153">
        <v>99.9</v>
      </c>
      <c r="J153">
        <v>33.700000000000003</v>
      </c>
      <c r="K153" s="1">
        <v>31224</v>
      </c>
      <c r="L153">
        <v>10.6</v>
      </c>
      <c r="M153" s="2">
        <v>0.04</v>
      </c>
    </row>
    <row r="154" spans="1:13" x14ac:dyDescent="0.2">
      <c r="A154">
        <v>153</v>
      </c>
      <c r="B154">
        <f>152</f>
        <v>152</v>
      </c>
      <c r="C154" t="s">
        <v>188</v>
      </c>
      <c r="D154" t="s">
        <v>189</v>
      </c>
      <c r="E154">
        <v>61.8</v>
      </c>
      <c r="F154">
        <v>40.4</v>
      </c>
      <c r="G154">
        <v>46.4</v>
      </c>
      <c r="H154">
        <v>87.8</v>
      </c>
      <c r="I154">
        <v>87.4</v>
      </c>
      <c r="J154">
        <v>88.5</v>
      </c>
      <c r="K154" s="1">
        <v>34626</v>
      </c>
      <c r="L154">
        <v>24.4</v>
      </c>
      <c r="M154" s="2">
        <v>0.31</v>
      </c>
    </row>
    <row r="155" spans="1:13" x14ac:dyDescent="0.2">
      <c r="A155">
        <v>154</v>
      </c>
      <c r="B155">
        <f t="shared" ref="B155:B157" si="8">154</f>
        <v>154</v>
      </c>
      <c r="C155" t="s">
        <v>190</v>
      </c>
      <c r="D155" t="s">
        <v>181</v>
      </c>
      <c r="E155">
        <v>61.7</v>
      </c>
      <c r="F155">
        <v>59.5</v>
      </c>
      <c r="G155">
        <v>46.5</v>
      </c>
      <c r="H155">
        <v>82.6</v>
      </c>
      <c r="I155">
        <v>36.4</v>
      </c>
      <c r="J155">
        <v>59</v>
      </c>
      <c r="K155">
        <v>674</v>
      </c>
      <c r="L155">
        <v>8</v>
      </c>
      <c r="M155" s="2">
        <v>0.11</v>
      </c>
    </row>
    <row r="156" spans="1:13" x14ac:dyDescent="0.2">
      <c r="A156">
        <v>155</v>
      </c>
      <c r="B156">
        <f t="shared" si="8"/>
        <v>154</v>
      </c>
      <c r="C156" t="s">
        <v>191</v>
      </c>
      <c r="D156" t="s">
        <v>28</v>
      </c>
      <c r="E156">
        <v>61.7</v>
      </c>
      <c r="F156">
        <v>51.6</v>
      </c>
      <c r="G156">
        <v>53.3</v>
      </c>
      <c r="H156">
        <v>72.8</v>
      </c>
      <c r="I156">
        <v>99</v>
      </c>
      <c r="J156">
        <v>70.099999999999994</v>
      </c>
      <c r="K156" s="1">
        <v>31767</v>
      </c>
      <c r="L156">
        <v>11.3</v>
      </c>
      <c r="M156" s="2">
        <v>0.2</v>
      </c>
    </row>
    <row r="157" spans="1:13" x14ac:dyDescent="0.2">
      <c r="A157">
        <v>156</v>
      </c>
      <c r="B157">
        <f t="shared" si="8"/>
        <v>154</v>
      </c>
      <c r="C157" t="s">
        <v>192</v>
      </c>
      <c r="D157" t="s">
        <v>61</v>
      </c>
      <c r="E157">
        <v>61.7</v>
      </c>
      <c r="F157">
        <v>35.200000000000003</v>
      </c>
      <c r="G157">
        <v>42.5</v>
      </c>
      <c r="H157">
        <v>94.9</v>
      </c>
      <c r="I157">
        <v>88.2</v>
      </c>
      <c r="J157">
        <v>93</v>
      </c>
      <c r="K157" s="1">
        <v>28533</v>
      </c>
      <c r="L157">
        <v>36.6</v>
      </c>
      <c r="M157" s="2">
        <v>0.24</v>
      </c>
    </row>
    <row r="158" spans="1:13" x14ac:dyDescent="0.2">
      <c r="A158">
        <v>157</v>
      </c>
      <c r="B158">
        <f>157</f>
        <v>157</v>
      </c>
      <c r="C158" t="s">
        <v>193</v>
      </c>
      <c r="D158" t="s">
        <v>14</v>
      </c>
      <c r="E158">
        <v>61.4</v>
      </c>
      <c r="F158">
        <v>37.1</v>
      </c>
      <c r="G158">
        <v>42.9</v>
      </c>
      <c r="H158">
        <v>93</v>
      </c>
      <c r="I158">
        <v>82.9</v>
      </c>
      <c r="J158">
        <v>90.8</v>
      </c>
      <c r="K158" s="1">
        <v>24885</v>
      </c>
      <c r="L158">
        <v>14.4</v>
      </c>
      <c r="M158" s="2">
        <v>0.26</v>
      </c>
    </row>
    <row r="159" spans="1:13" x14ac:dyDescent="0.2">
      <c r="A159">
        <v>158</v>
      </c>
      <c r="B159">
        <f>157</f>
        <v>157</v>
      </c>
      <c r="C159" t="s">
        <v>194</v>
      </c>
      <c r="D159" t="s">
        <v>45</v>
      </c>
      <c r="E159">
        <v>61.4</v>
      </c>
      <c r="F159">
        <v>42.9</v>
      </c>
      <c r="G159">
        <v>47.5</v>
      </c>
      <c r="H159">
        <v>86</v>
      </c>
      <c r="I159">
        <v>96.5</v>
      </c>
      <c r="J159">
        <v>70.5</v>
      </c>
      <c r="K159" s="1">
        <v>29832</v>
      </c>
      <c r="L159">
        <v>27.7</v>
      </c>
      <c r="M159" s="2">
        <v>0.17</v>
      </c>
    </row>
    <row r="160" spans="1:13" x14ac:dyDescent="0.2">
      <c r="A160">
        <v>159</v>
      </c>
      <c r="B160">
        <v>159</v>
      </c>
      <c r="C160" t="s">
        <v>195</v>
      </c>
      <c r="D160" t="s">
        <v>16</v>
      </c>
      <c r="E160">
        <v>61.2</v>
      </c>
      <c r="F160">
        <v>51.1</v>
      </c>
      <c r="G160">
        <v>40.299999999999997</v>
      </c>
      <c r="H160">
        <v>88.6</v>
      </c>
      <c r="I160">
        <v>70.900000000000006</v>
      </c>
      <c r="J160">
        <v>66.3</v>
      </c>
      <c r="K160" s="1">
        <v>11334</v>
      </c>
      <c r="L160">
        <v>9.1</v>
      </c>
      <c r="M160" s="2">
        <v>0.27</v>
      </c>
    </row>
    <row r="161" spans="1:13" x14ac:dyDescent="0.2">
      <c r="A161">
        <v>160</v>
      </c>
      <c r="B161">
        <f>160</f>
        <v>160</v>
      </c>
      <c r="C161" t="s">
        <v>196</v>
      </c>
      <c r="D161" t="s">
        <v>45</v>
      </c>
      <c r="E161">
        <v>61.1</v>
      </c>
      <c r="F161">
        <v>47.2</v>
      </c>
      <c r="G161">
        <v>50.6</v>
      </c>
      <c r="H161">
        <v>78.599999999999994</v>
      </c>
      <c r="I161">
        <v>99.8</v>
      </c>
      <c r="J161">
        <v>65.900000000000006</v>
      </c>
      <c r="K161" s="1">
        <v>21294</v>
      </c>
      <c r="L161">
        <v>19.8</v>
      </c>
      <c r="M161" s="2">
        <v>0.15</v>
      </c>
    </row>
    <row r="162" spans="1:13" x14ac:dyDescent="0.2">
      <c r="A162">
        <v>161</v>
      </c>
      <c r="B162">
        <f>160</f>
        <v>160</v>
      </c>
      <c r="C162" t="s">
        <v>197</v>
      </c>
      <c r="D162" t="s">
        <v>14</v>
      </c>
      <c r="E162">
        <v>61.1</v>
      </c>
      <c r="F162">
        <v>40.1</v>
      </c>
      <c r="G162">
        <v>40.700000000000003</v>
      </c>
      <c r="H162">
        <v>92.1</v>
      </c>
      <c r="I162">
        <v>65.7</v>
      </c>
      <c r="J162">
        <v>95.5</v>
      </c>
      <c r="K162" s="1">
        <v>25735</v>
      </c>
      <c r="L162">
        <v>13.8</v>
      </c>
      <c r="M162" s="2">
        <v>0.3</v>
      </c>
    </row>
    <row r="163" spans="1:13" x14ac:dyDescent="0.2">
      <c r="A163">
        <v>162</v>
      </c>
      <c r="B163">
        <v>162</v>
      </c>
      <c r="C163" t="s">
        <v>198</v>
      </c>
      <c r="D163" t="s">
        <v>48</v>
      </c>
      <c r="E163">
        <v>61</v>
      </c>
      <c r="F163">
        <v>63.5</v>
      </c>
      <c r="G163">
        <v>65.400000000000006</v>
      </c>
      <c r="H163">
        <v>51.8</v>
      </c>
      <c r="I163">
        <v>100</v>
      </c>
      <c r="J163">
        <v>50.7</v>
      </c>
      <c r="K163" s="1">
        <v>22186</v>
      </c>
      <c r="L163">
        <v>10.4</v>
      </c>
      <c r="M163" s="2">
        <v>0.11</v>
      </c>
    </row>
    <row r="164" spans="1:13" x14ac:dyDescent="0.2">
      <c r="A164">
        <v>163</v>
      </c>
      <c r="B164">
        <f t="shared" ref="B164:B166" si="9">163</f>
        <v>163</v>
      </c>
      <c r="C164" t="s">
        <v>199</v>
      </c>
      <c r="D164" t="s">
        <v>16</v>
      </c>
      <c r="E164">
        <v>60.9</v>
      </c>
      <c r="F164">
        <v>49.3</v>
      </c>
      <c r="G164">
        <v>42.2</v>
      </c>
      <c r="H164">
        <v>87.3</v>
      </c>
      <c r="I164">
        <v>85.2</v>
      </c>
      <c r="J164">
        <v>60.1</v>
      </c>
      <c r="K164" s="1">
        <v>26228</v>
      </c>
      <c r="L164">
        <v>9</v>
      </c>
      <c r="M164" s="2">
        <v>0.12</v>
      </c>
    </row>
    <row r="165" spans="1:13" x14ac:dyDescent="0.2">
      <c r="A165">
        <v>164</v>
      </c>
      <c r="B165">
        <f t="shared" si="9"/>
        <v>163</v>
      </c>
      <c r="C165" t="s">
        <v>200</v>
      </c>
      <c r="D165" t="s">
        <v>39</v>
      </c>
      <c r="E165">
        <v>60.9</v>
      </c>
      <c r="F165">
        <v>41</v>
      </c>
      <c r="G165">
        <v>48.9</v>
      </c>
      <c r="H165">
        <v>83.1</v>
      </c>
      <c r="I165">
        <v>77.099999999999994</v>
      </c>
      <c r="J165">
        <v>88.4</v>
      </c>
      <c r="K165" s="1">
        <v>35370</v>
      </c>
      <c r="L165">
        <v>23.1</v>
      </c>
      <c r="M165" s="2">
        <v>0.22</v>
      </c>
    </row>
    <row r="166" spans="1:13" x14ac:dyDescent="0.2">
      <c r="A166">
        <v>165</v>
      </c>
      <c r="B166">
        <f t="shared" si="9"/>
        <v>163</v>
      </c>
      <c r="C166" t="s">
        <v>201</v>
      </c>
      <c r="D166" t="s">
        <v>45</v>
      </c>
      <c r="E166">
        <v>60.9</v>
      </c>
      <c r="F166">
        <v>39.799999999999997</v>
      </c>
      <c r="G166">
        <v>44.1</v>
      </c>
      <c r="H166">
        <v>92.7</v>
      </c>
      <c r="I166">
        <v>99.9</v>
      </c>
      <c r="J166">
        <v>61</v>
      </c>
      <c r="K166" s="1">
        <v>21257</v>
      </c>
      <c r="L166">
        <v>37.700000000000003</v>
      </c>
      <c r="M166" s="2">
        <v>0.1</v>
      </c>
    </row>
    <row r="167" spans="1:13" x14ac:dyDescent="0.2">
      <c r="A167">
        <v>166</v>
      </c>
      <c r="B167">
        <f>166</f>
        <v>166</v>
      </c>
      <c r="C167" t="s">
        <v>202</v>
      </c>
      <c r="D167" t="s">
        <v>28</v>
      </c>
      <c r="E167">
        <v>60.8</v>
      </c>
      <c r="F167">
        <v>46.7</v>
      </c>
      <c r="G167">
        <v>48.4</v>
      </c>
      <c r="H167">
        <v>88.3</v>
      </c>
      <c r="I167">
        <v>99.7</v>
      </c>
      <c r="J167">
        <v>33</v>
      </c>
      <c r="K167" s="1">
        <v>58194</v>
      </c>
      <c r="L167">
        <v>14.8</v>
      </c>
      <c r="M167" s="2">
        <v>0.04</v>
      </c>
    </row>
    <row r="168" spans="1:13" x14ac:dyDescent="0.2">
      <c r="A168">
        <v>167</v>
      </c>
      <c r="B168">
        <f>166</f>
        <v>166</v>
      </c>
      <c r="C168" t="s">
        <v>203</v>
      </c>
      <c r="D168" t="s">
        <v>45</v>
      </c>
      <c r="E168">
        <v>60.8</v>
      </c>
      <c r="F168">
        <v>45.8</v>
      </c>
      <c r="G168">
        <v>56.9</v>
      </c>
      <c r="H168">
        <v>71.099999999999994</v>
      </c>
      <c r="I168">
        <v>100</v>
      </c>
      <c r="J168">
        <v>73.099999999999994</v>
      </c>
      <c r="K168" s="1">
        <v>20875</v>
      </c>
      <c r="L168">
        <v>41.3</v>
      </c>
      <c r="M168" s="2">
        <v>0.24</v>
      </c>
    </row>
    <row r="169" spans="1:13" x14ac:dyDescent="0.2">
      <c r="A169">
        <v>168</v>
      </c>
      <c r="B169">
        <f t="shared" ref="B169:B171" si="10">168</f>
        <v>168</v>
      </c>
      <c r="C169" t="s">
        <v>204</v>
      </c>
      <c r="D169" t="s">
        <v>16</v>
      </c>
      <c r="E169">
        <v>60.7</v>
      </c>
      <c r="F169">
        <v>56.8</v>
      </c>
      <c r="G169">
        <v>39.4</v>
      </c>
      <c r="H169">
        <v>83.2</v>
      </c>
      <c r="I169">
        <v>75.900000000000006</v>
      </c>
      <c r="J169">
        <v>60.5</v>
      </c>
      <c r="K169" s="1">
        <v>6691</v>
      </c>
      <c r="L169">
        <v>8</v>
      </c>
      <c r="M169" s="2">
        <v>0.17</v>
      </c>
    </row>
    <row r="170" spans="1:13" x14ac:dyDescent="0.2">
      <c r="A170">
        <v>169</v>
      </c>
      <c r="B170">
        <f t="shared" si="10"/>
        <v>168</v>
      </c>
      <c r="C170" t="s">
        <v>205</v>
      </c>
      <c r="D170" t="s">
        <v>14</v>
      </c>
      <c r="E170">
        <v>60.7</v>
      </c>
      <c r="F170">
        <v>41.6</v>
      </c>
      <c r="G170">
        <v>40.799999999999997</v>
      </c>
      <c r="H170">
        <v>89.1</v>
      </c>
      <c r="I170">
        <v>66.400000000000006</v>
      </c>
      <c r="J170">
        <v>96.2</v>
      </c>
      <c r="K170" s="1">
        <v>15280</v>
      </c>
      <c r="L170">
        <v>13.8</v>
      </c>
      <c r="M170" s="2">
        <v>0.36</v>
      </c>
    </row>
    <row r="171" spans="1:13" x14ac:dyDescent="0.2">
      <c r="A171">
        <v>170</v>
      </c>
      <c r="B171">
        <f t="shared" si="10"/>
        <v>168</v>
      </c>
      <c r="C171" t="s">
        <v>206</v>
      </c>
      <c r="D171" t="s">
        <v>67</v>
      </c>
      <c r="E171">
        <v>60.7</v>
      </c>
      <c r="F171">
        <v>38.1</v>
      </c>
      <c r="G171">
        <v>44.6</v>
      </c>
      <c r="H171">
        <v>89.9</v>
      </c>
      <c r="I171">
        <v>98.5</v>
      </c>
      <c r="J171">
        <v>75.3</v>
      </c>
      <c r="K171" s="1">
        <v>16398</v>
      </c>
      <c r="L171">
        <v>32.299999999999997</v>
      </c>
      <c r="M171" s="2">
        <v>0.18</v>
      </c>
    </row>
    <row r="172" spans="1:13" x14ac:dyDescent="0.2">
      <c r="A172">
        <v>171</v>
      </c>
      <c r="B172">
        <v>171</v>
      </c>
      <c r="C172" t="s">
        <v>207</v>
      </c>
      <c r="D172" t="s">
        <v>26</v>
      </c>
      <c r="E172">
        <v>60.6</v>
      </c>
      <c r="F172">
        <v>43.2</v>
      </c>
      <c r="G172">
        <v>39</v>
      </c>
      <c r="H172">
        <v>86.4</v>
      </c>
      <c r="I172">
        <v>84</v>
      </c>
      <c r="J172">
        <v>96.5</v>
      </c>
      <c r="K172" s="1">
        <v>18261</v>
      </c>
      <c r="L172">
        <v>8.1</v>
      </c>
      <c r="M172" s="2">
        <v>0.41</v>
      </c>
    </row>
    <row r="173" spans="1:13" x14ac:dyDescent="0.2">
      <c r="A173">
        <v>172</v>
      </c>
      <c r="B173">
        <f t="shared" ref="B173:B175" si="11">172</f>
        <v>172</v>
      </c>
      <c r="C173" t="s">
        <v>208</v>
      </c>
      <c r="D173" t="s">
        <v>14</v>
      </c>
      <c r="E173">
        <v>60.4</v>
      </c>
      <c r="F173">
        <v>43.6</v>
      </c>
      <c r="G173">
        <v>43.9</v>
      </c>
      <c r="H173">
        <v>83.7</v>
      </c>
      <c r="I173">
        <v>62.5</v>
      </c>
      <c r="J173">
        <v>95.5</v>
      </c>
      <c r="K173" s="1">
        <v>21065</v>
      </c>
      <c r="L173">
        <v>13.7</v>
      </c>
      <c r="M173" s="2">
        <v>0.33</v>
      </c>
    </row>
    <row r="174" spans="1:13" x14ac:dyDescent="0.2">
      <c r="A174">
        <v>173</v>
      </c>
      <c r="B174">
        <f t="shared" si="11"/>
        <v>172</v>
      </c>
      <c r="C174" t="s">
        <v>209</v>
      </c>
      <c r="D174" t="s">
        <v>210</v>
      </c>
      <c r="E174">
        <v>60.4</v>
      </c>
      <c r="F174">
        <v>53.3</v>
      </c>
      <c r="G174">
        <v>54.6</v>
      </c>
      <c r="H174">
        <v>69</v>
      </c>
      <c r="I174">
        <v>100</v>
      </c>
      <c r="J174">
        <v>55</v>
      </c>
      <c r="K174" s="1">
        <v>25973</v>
      </c>
      <c r="L174">
        <v>13.3</v>
      </c>
      <c r="M174" s="2">
        <v>0.15</v>
      </c>
    </row>
    <row r="175" spans="1:13" x14ac:dyDescent="0.2">
      <c r="A175">
        <v>174</v>
      </c>
      <c r="B175">
        <f t="shared" si="11"/>
        <v>172</v>
      </c>
      <c r="C175" t="s">
        <v>211</v>
      </c>
      <c r="D175" t="s">
        <v>14</v>
      </c>
      <c r="E175">
        <v>60.4</v>
      </c>
      <c r="F175">
        <v>34.799999999999997</v>
      </c>
      <c r="G175">
        <v>42.3</v>
      </c>
      <c r="H175">
        <v>94.9</v>
      </c>
      <c r="I175">
        <v>56</v>
      </c>
      <c r="J175">
        <v>94.9</v>
      </c>
      <c r="K175" s="1">
        <v>29310</v>
      </c>
      <c r="L175">
        <v>16.899999999999999</v>
      </c>
      <c r="M175" s="2">
        <v>0.28999999999999998</v>
      </c>
    </row>
    <row r="176" spans="1:13" x14ac:dyDescent="0.2">
      <c r="A176">
        <v>175</v>
      </c>
      <c r="B176">
        <v>175</v>
      </c>
      <c r="C176" t="s">
        <v>212</v>
      </c>
      <c r="D176" t="s">
        <v>67</v>
      </c>
      <c r="E176">
        <v>60.2</v>
      </c>
      <c r="F176">
        <v>39.4</v>
      </c>
      <c r="G176">
        <v>49.4</v>
      </c>
      <c r="H176">
        <v>81.099999999999994</v>
      </c>
      <c r="I176">
        <v>94</v>
      </c>
      <c r="J176">
        <v>82.6</v>
      </c>
      <c r="K176" s="1">
        <v>27440</v>
      </c>
      <c r="L176">
        <v>39.9</v>
      </c>
      <c r="M176" s="2">
        <v>0.2</v>
      </c>
    </row>
    <row r="177" spans="1:13" x14ac:dyDescent="0.2">
      <c r="A177">
        <v>176</v>
      </c>
      <c r="B177">
        <f>176</f>
        <v>176</v>
      </c>
      <c r="C177" t="s">
        <v>213</v>
      </c>
      <c r="D177" t="s">
        <v>214</v>
      </c>
      <c r="E177">
        <v>60.1</v>
      </c>
      <c r="F177">
        <v>36.9</v>
      </c>
      <c r="G177">
        <v>41.5</v>
      </c>
      <c r="H177">
        <v>88.7</v>
      </c>
      <c r="I177">
        <v>91.6</v>
      </c>
      <c r="J177">
        <v>92.1</v>
      </c>
      <c r="K177" s="1">
        <v>6222</v>
      </c>
      <c r="L177">
        <v>7.8</v>
      </c>
      <c r="M177" s="2">
        <v>0.25</v>
      </c>
    </row>
    <row r="178" spans="1:13" x14ac:dyDescent="0.2">
      <c r="A178">
        <v>177</v>
      </c>
      <c r="B178">
        <f>176</f>
        <v>176</v>
      </c>
      <c r="C178" t="s">
        <v>215</v>
      </c>
      <c r="D178" t="s">
        <v>185</v>
      </c>
      <c r="E178">
        <v>60.1</v>
      </c>
      <c r="F178">
        <v>36</v>
      </c>
      <c r="G178">
        <v>44.6</v>
      </c>
      <c r="H178">
        <v>90</v>
      </c>
      <c r="I178">
        <v>83.9</v>
      </c>
      <c r="J178">
        <v>82.2</v>
      </c>
      <c r="K178" s="1">
        <v>12662</v>
      </c>
      <c r="L178">
        <v>22.3</v>
      </c>
      <c r="M178" s="2">
        <v>0.17</v>
      </c>
    </row>
    <row r="179" spans="1:13" x14ac:dyDescent="0.2">
      <c r="A179">
        <v>178</v>
      </c>
      <c r="B179">
        <v>178</v>
      </c>
      <c r="C179" t="s">
        <v>216</v>
      </c>
      <c r="D179" t="s">
        <v>61</v>
      </c>
      <c r="E179">
        <v>59.9</v>
      </c>
      <c r="F179">
        <v>35.200000000000003</v>
      </c>
      <c r="G179">
        <v>42.7</v>
      </c>
      <c r="H179">
        <v>89.4</v>
      </c>
      <c r="I179">
        <v>93.4</v>
      </c>
      <c r="J179">
        <v>87.4</v>
      </c>
      <c r="K179" s="1">
        <v>28373</v>
      </c>
      <c r="L179">
        <v>50</v>
      </c>
      <c r="M179" s="2">
        <v>0.21</v>
      </c>
    </row>
    <row r="180" spans="1:13" x14ac:dyDescent="0.2">
      <c r="A180">
        <v>179</v>
      </c>
      <c r="B180">
        <v>179</v>
      </c>
      <c r="C180" t="s">
        <v>217</v>
      </c>
      <c r="D180" t="s">
        <v>16</v>
      </c>
      <c r="E180">
        <v>59.8</v>
      </c>
      <c r="F180">
        <v>50.7</v>
      </c>
      <c r="G180">
        <v>36.299999999999997</v>
      </c>
      <c r="H180">
        <v>89.1</v>
      </c>
      <c r="I180">
        <v>72.7</v>
      </c>
      <c r="J180">
        <v>63.1</v>
      </c>
      <c r="K180" s="1">
        <v>12647</v>
      </c>
      <c r="L180">
        <v>11</v>
      </c>
      <c r="M180" s="2">
        <v>0.17</v>
      </c>
    </row>
    <row r="181" spans="1:13" x14ac:dyDescent="0.2">
      <c r="A181">
        <v>180</v>
      </c>
      <c r="B181">
        <f t="shared" ref="B181:B183" si="12">180</f>
        <v>180</v>
      </c>
      <c r="C181" t="s">
        <v>218</v>
      </c>
      <c r="D181" t="s">
        <v>219</v>
      </c>
      <c r="E181">
        <v>59.7</v>
      </c>
      <c r="F181">
        <v>37.799999999999997</v>
      </c>
      <c r="G181">
        <v>45.3</v>
      </c>
      <c r="H181">
        <v>86.6</v>
      </c>
      <c r="I181">
        <v>80.599999999999994</v>
      </c>
      <c r="J181">
        <v>82.4</v>
      </c>
      <c r="K181" s="1">
        <v>21021</v>
      </c>
      <c r="L181">
        <v>13</v>
      </c>
      <c r="M181" s="2">
        <v>0.13</v>
      </c>
    </row>
    <row r="182" spans="1:13" x14ac:dyDescent="0.2">
      <c r="A182">
        <v>181</v>
      </c>
      <c r="B182">
        <f t="shared" si="12"/>
        <v>180</v>
      </c>
      <c r="C182" t="s">
        <v>220</v>
      </c>
      <c r="D182" t="s">
        <v>221</v>
      </c>
      <c r="E182">
        <v>59.7</v>
      </c>
      <c r="F182">
        <v>37.700000000000003</v>
      </c>
      <c r="G182">
        <v>39</v>
      </c>
      <c r="H182">
        <v>90.7</v>
      </c>
      <c r="I182">
        <v>70.400000000000006</v>
      </c>
      <c r="J182">
        <v>96.6</v>
      </c>
      <c r="K182" s="1">
        <v>11573</v>
      </c>
      <c r="L182">
        <v>19.2</v>
      </c>
      <c r="M182" s="2">
        <v>0.46</v>
      </c>
    </row>
    <row r="183" spans="1:13" x14ac:dyDescent="0.2">
      <c r="A183">
        <v>182</v>
      </c>
      <c r="B183">
        <f t="shared" si="12"/>
        <v>180</v>
      </c>
      <c r="C183" t="s">
        <v>222</v>
      </c>
      <c r="D183" t="s">
        <v>82</v>
      </c>
      <c r="E183">
        <v>59.7</v>
      </c>
      <c r="F183">
        <v>43.6</v>
      </c>
      <c r="G183">
        <v>46.4</v>
      </c>
      <c r="H183">
        <v>74.599999999999994</v>
      </c>
      <c r="I183">
        <v>99.3</v>
      </c>
      <c r="J183">
        <v>93.1</v>
      </c>
      <c r="K183" s="1">
        <v>8742</v>
      </c>
      <c r="L183">
        <v>11.6</v>
      </c>
      <c r="M183" s="2">
        <v>0.41</v>
      </c>
    </row>
    <row r="184" spans="1:13" x14ac:dyDescent="0.2">
      <c r="A184">
        <v>183</v>
      </c>
      <c r="B184">
        <f>183</f>
        <v>183</v>
      </c>
      <c r="C184" t="s">
        <v>223</v>
      </c>
      <c r="D184" t="s">
        <v>28</v>
      </c>
      <c r="E184">
        <v>59.6</v>
      </c>
      <c r="F184">
        <v>36.700000000000003</v>
      </c>
      <c r="G184">
        <v>43.3</v>
      </c>
      <c r="H184">
        <v>93.2</v>
      </c>
      <c r="I184">
        <v>80.900000000000006</v>
      </c>
      <c r="J184">
        <v>67.099999999999994</v>
      </c>
      <c r="K184" s="1">
        <v>7350</v>
      </c>
      <c r="L184">
        <v>9.1</v>
      </c>
      <c r="M184" s="2">
        <v>0.01</v>
      </c>
    </row>
    <row r="185" spans="1:13" x14ac:dyDescent="0.2">
      <c r="A185">
        <v>184</v>
      </c>
      <c r="B185">
        <f>183</f>
        <v>183</v>
      </c>
      <c r="C185" t="s">
        <v>224</v>
      </c>
      <c r="D185" t="s">
        <v>65</v>
      </c>
      <c r="E185">
        <v>59.6</v>
      </c>
      <c r="F185">
        <v>44.7</v>
      </c>
      <c r="G185">
        <v>37.799999999999997</v>
      </c>
      <c r="H185">
        <v>90.7</v>
      </c>
      <c r="I185">
        <v>67</v>
      </c>
      <c r="J185">
        <v>73.8</v>
      </c>
      <c r="K185" s="1">
        <v>61998</v>
      </c>
      <c r="L185">
        <v>17.100000000000001</v>
      </c>
      <c r="M185" s="2">
        <v>0.2</v>
      </c>
    </row>
    <row r="186" spans="1:13" x14ac:dyDescent="0.2">
      <c r="A186">
        <v>185</v>
      </c>
      <c r="B186">
        <f t="shared" ref="B186:B188" si="13">185</f>
        <v>185</v>
      </c>
      <c r="C186" t="s">
        <v>225</v>
      </c>
      <c r="D186" t="s">
        <v>82</v>
      </c>
      <c r="E186">
        <v>59.5</v>
      </c>
      <c r="F186">
        <v>46.2</v>
      </c>
      <c r="G186">
        <v>51</v>
      </c>
      <c r="H186">
        <v>68</v>
      </c>
      <c r="I186">
        <v>100</v>
      </c>
      <c r="J186">
        <v>88.4</v>
      </c>
      <c r="K186" s="1">
        <v>10686</v>
      </c>
      <c r="L186">
        <v>21</v>
      </c>
      <c r="M186" s="2">
        <v>0.31</v>
      </c>
    </row>
    <row r="187" spans="1:13" x14ac:dyDescent="0.2">
      <c r="A187">
        <v>186</v>
      </c>
      <c r="B187">
        <f t="shared" si="13"/>
        <v>185</v>
      </c>
      <c r="C187" t="s">
        <v>226</v>
      </c>
      <c r="D187" t="s">
        <v>181</v>
      </c>
      <c r="E187">
        <v>59.5</v>
      </c>
      <c r="F187">
        <v>53.4</v>
      </c>
      <c r="G187">
        <v>50.8</v>
      </c>
      <c r="H187">
        <v>73.7</v>
      </c>
      <c r="I187">
        <v>93</v>
      </c>
      <c r="J187">
        <v>42.6</v>
      </c>
      <c r="K187" s="1">
        <v>64504</v>
      </c>
      <c r="L187">
        <v>27.6</v>
      </c>
      <c r="M187" s="2">
        <v>7.0000000000000007E-2</v>
      </c>
    </row>
    <row r="188" spans="1:13" x14ac:dyDescent="0.2">
      <c r="A188">
        <v>187</v>
      </c>
      <c r="B188">
        <f t="shared" si="13"/>
        <v>185</v>
      </c>
      <c r="C188" t="s">
        <v>227</v>
      </c>
      <c r="D188" t="s">
        <v>14</v>
      </c>
      <c r="E188">
        <v>59.5</v>
      </c>
      <c r="F188">
        <v>47.4</v>
      </c>
      <c r="G188">
        <v>44</v>
      </c>
      <c r="H188">
        <v>76.900000000000006</v>
      </c>
      <c r="I188">
        <v>65.5</v>
      </c>
      <c r="J188">
        <v>94.8</v>
      </c>
      <c r="K188" s="1">
        <v>10750</v>
      </c>
      <c r="L188">
        <v>12.8</v>
      </c>
      <c r="M188" s="2">
        <v>0.47</v>
      </c>
    </row>
    <row r="189" spans="1:13" x14ac:dyDescent="0.2">
      <c r="A189">
        <v>188</v>
      </c>
      <c r="B189">
        <v>188</v>
      </c>
      <c r="C189" t="s">
        <v>228</v>
      </c>
      <c r="D189" t="s">
        <v>45</v>
      </c>
      <c r="E189">
        <v>59.4</v>
      </c>
      <c r="F189">
        <v>44</v>
      </c>
      <c r="G189">
        <v>47.9</v>
      </c>
      <c r="H189">
        <v>83.9</v>
      </c>
      <c r="I189">
        <v>82.2</v>
      </c>
      <c r="J189">
        <v>54.7</v>
      </c>
      <c r="K189" s="1">
        <v>26664</v>
      </c>
      <c r="L189">
        <v>24.4</v>
      </c>
      <c r="M189" s="2">
        <v>0.06</v>
      </c>
    </row>
    <row r="190" spans="1:13" x14ac:dyDescent="0.2">
      <c r="A190">
        <v>189</v>
      </c>
      <c r="B190">
        <f>189</f>
        <v>189</v>
      </c>
      <c r="C190" t="s">
        <v>229</v>
      </c>
      <c r="D190" t="s">
        <v>16</v>
      </c>
      <c r="E190">
        <v>59.3</v>
      </c>
      <c r="F190">
        <v>46.6</v>
      </c>
      <c r="G190">
        <v>38.299999999999997</v>
      </c>
      <c r="H190">
        <v>87.4</v>
      </c>
      <c r="I190">
        <v>85</v>
      </c>
      <c r="J190">
        <v>64</v>
      </c>
      <c r="K190" s="1">
        <v>66622</v>
      </c>
      <c r="L190">
        <v>12.5</v>
      </c>
      <c r="M190" s="2">
        <v>0.12</v>
      </c>
    </row>
    <row r="191" spans="1:13" x14ac:dyDescent="0.2">
      <c r="A191">
        <v>190</v>
      </c>
      <c r="B191">
        <f>189</f>
        <v>189</v>
      </c>
      <c r="C191" t="s">
        <v>230</v>
      </c>
      <c r="D191" t="s">
        <v>89</v>
      </c>
      <c r="E191">
        <v>59.3</v>
      </c>
      <c r="F191">
        <v>49.3</v>
      </c>
      <c r="G191">
        <v>48.6</v>
      </c>
      <c r="H191">
        <v>72.599999999999994</v>
      </c>
      <c r="I191">
        <v>99.8</v>
      </c>
      <c r="J191">
        <v>65.7</v>
      </c>
      <c r="K191" s="1">
        <v>21741</v>
      </c>
      <c r="L191">
        <v>17.3</v>
      </c>
      <c r="M191" s="2">
        <v>0.38</v>
      </c>
    </row>
    <row r="192" spans="1:13" x14ac:dyDescent="0.2">
      <c r="A192">
        <v>191</v>
      </c>
      <c r="B192">
        <f t="shared" ref="B192:B195" si="14">191</f>
        <v>191</v>
      </c>
      <c r="C192" t="s">
        <v>231</v>
      </c>
      <c r="D192" t="s">
        <v>232</v>
      </c>
      <c r="E192">
        <v>59.2</v>
      </c>
      <c r="F192">
        <v>45.1</v>
      </c>
      <c r="G192">
        <v>39.200000000000003</v>
      </c>
      <c r="H192">
        <v>87.4</v>
      </c>
      <c r="I192">
        <v>25.4</v>
      </c>
      <c r="J192">
        <v>97.9</v>
      </c>
      <c r="K192" s="1">
        <v>2344</v>
      </c>
      <c r="L192">
        <v>10.7</v>
      </c>
      <c r="M192" s="2">
        <v>0.6</v>
      </c>
    </row>
    <row r="193" spans="1:13" x14ac:dyDescent="0.2">
      <c r="A193">
        <v>192</v>
      </c>
      <c r="B193">
        <f t="shared" si="14"/>
        <v>191</v>
      </c>
      <c r="C193" t="s">
        <v>233</v>
      </c>
      <c r="D193" t="s">
        <v>74</v>
      </c>
      <c r="E193">
        <v>59.2</v>
      </c>
      <c r="F193">
        <v>32.799999999999997</v>
      </c>
      <c r="G193">
        <v>49</v>
      </c>
      <c r="H193">
        <v>89.3</v>
      </c>
      <c r="I193">
        <v>65.099999999999994</v>
      </c>
      <c r="J193">
        <v>79.599999999999994</v>
      </c>
      <c r="K193" s="1">
        <v>28689</v>
      </c>
      <c r="L193">
        <v>17.399999999999999</v>
      </c>
      <c r="M193" s="2">
        <v>0.14000000000000001</v>
      </c>
    </row>
    <row r="194" spans="1:13" x14ac:dyDescent="0.2">
      <c r="A194">
        <v>193</v>
      </c>
      <c r="B194">
        <f t="shared" si="14"/>
        <v>191</v>
      </c>
      <c r="C194" t="s">
        <v>234</v>
      </c>
      <c r="D194" t="s">
        <v>14</v>
      </c>
      <c r="E194">
        <v>59.2</v>
      </c>
      <c r="F194">
        <v>34.9</v>
      </c>
      <c r="G194">
        <v>34.9</v>
      </c>
      <c r="H194">
        <v>96.1</v>
      </c>
      <c r="I194">
        <v>69.7</v>
      </c>
      <c r="J194">
        <v>95.5</v>
      </c>
      <c r="K194" s="1">
        <v>14825</v>
      </c>
      <c r="L194">
        <v>14.8</v>
      </c>
      <c r="M194" s="2">
        <v>0.38</v>
      </c>
    </row>
    <row r="195" spans="1:13" x14ac:dyDescent="0.2">
      <c r="A195">
        <v>194</v>
      </c>
      <c r="B195">
        <f t="shared" si="14"/>
        <v>191</v>
      </c>
      <c r="C195" t="s">
        <v>235</v>
      </c>
      <c r="D195" t="s">
        <v>39</v>
      </c>
      <c r="E195">
        <v>59.2</v>
      </c>
      <c r="F195">
        <v>37.200000000000003</v>
      </c>
      <c r="G195">
        <v>44.7</v>
      </c>
      <c r="H195">
        <v>85.1</v>
      </c>
      <c r="I195">
        <v>81.400000000000006</v>
      </c>
      <c r="J195">
        <v>87</v>
      </c>
      <c r="K195" s="1">
        <v>40289</v>
      </c>
      <c r="L195">
        <v>28.4</v>
      </c>
      <c r="M195" s="2">
        <v>0.28000000000000003</v>
      </c>
    </row>
    <row r="196" spans="1:13" x14ac:dyDescent="0.2">
      <c r="A196">
        <v>195</v>
      </c>
      <c r="B196">
        <v>195</v>
      </c>
      <c r="C196" t="s">
        <v>236</v>
      </c>
      <c r="D196" t="s">
        <v>48</v>
      </c>
      <c r="E196">
        <v>59.1</v>
      </c>
      <c r="F196">
        <v>61.1</v>
      </c>
      <c r="G196">
        <v>63.9</v>
      </c>
      <c r="H196">
        <v>47.5</v>
      </c>
      <c r="I196">
        <v>100</v>
      </c>
      <c r="J196">
        <v>57.6</v>
      </c>
      <c r="K196" s="1">
        <v>9908</v>
      </c>
      <c r="L196">
        <v>9.9</v>
      </c>
      <c r="M196" s="2">
        <v>0.16</v>
      </c>
    </row>
    <row r="197" spans="1:13" x14ac:dyDescent="0.2">
      <c r="A197">
        <v>196</v>
      </c>
      <c r="B197">
        <f t="shared" ref="B197:B199" si="15">196</f>
        <v>196</v>
      </c>
      <c r="C197" t="s">
        <v>237</v>
      </c>
      <c r="D197" t="s">
        <v>139</v>
      </c>
      <c r="E197">
        <v>58.9</v>
      </c>
      <c r="F197">
        <v>41.7</v>
      </c>
      <c r="G197">
        <v>43.1</v>
      </c>
      <c r="H197">
        <v>81.3</v>
      </c>
      <c r="I197">
        <v>88.2</v>
      </c>
      <c r="J197">
        <v>82.7</v>
      </c>
      <c r="K197" s="1">
        <v>14298</v>
      </c>
      <c r="L197">
        <v>20.3</v>
      </c>
      <c r="M197" s="2">
        <v>0.25</v>
      </c>
    </row>
    <row r="198" spans="1:13" x14ac:dyDescent="0.2">
      <c r="A198">
        <v>197</v>
      </c>
      <c r="B198">
        <f t="shared" si="15"/>
        <v>196</v>
      </c>
      <c r="C198" t="s">
        <v>238</v>
      </c>
      <c r="D198" t="s">
        <v>16</v>
      </c>
      <c r="E198">
        <v>58.9</v>
      </c>
      <c r="F198">
        <v>35.299999999999997</v>
      </c>
      <c r="G198">
        <v>41.7</v>
      </c>
      <c r="H198">
        <v>93.2</v>
      </c>
      <c r="I198">
        <v>71.900000000000006</v>
      </c>
      <c r="J198">
        <v>73.900000000000006</v>
      </c>
      <c r="K198" s="1">
        <v>19782</v>
      </c>
      <c r="L198">
        <v>24.1</v>
      </c>
      <c r="M198" s="2">
        <v>0.1</v>
      </c>
    </row>
    <row r="199" spans="1:13" x14ac:dyDescent="0.2">
      <c r="A199">
        <v>198</v>
      </c>
      <c r="B199">
        <f t="shared" si="15"/>
        <v>196</v>
      </c>
      <c r="C199" t="s">
        <v>239</v>
      </c>
      <c r="D199" t="s">
        <v>16</v>
      </c>
      <c r="E199">
        <v>58.9</v>
      </c>
      <c r="F199">
        <v>53.2</v>
      </c>
      <c r="G199">
        <v>45.1</v>
      </c>
      <c r="H199">
        <v>72.400000000000006</v>
      </c>
      <c r="I199">
        <v>73.900000000000006</v>
      </c>
      <c r="J199">
        <v>72.3</v>
      </c>
      <c r="K199" s="1">
        <v>12860</v>
      </c>
      <c r="L199">
        <v>10.9</v>
      </c>
      <c r="M199" s="2">
        <v>0.13</v>
      </c>
    </row>
    <row r="200" spans="1:13" x14ac:dyDescent="0.2">
      <c r="A200">
        <v>199</v>
      </c>
      <c r="B200">
        <f>199</f>
        <v>199</v>
      </c>
      <c r="C200" t="s">
        <v>240</v>
      </c>
      <c r="D200" t="s">
        <v>45</v>
      </c>
      <c r="E200">
        <v>58.7</v>
      </c>
      <c r="F200">
        <v>39.700000000000003</v>
      </c>
      <c r="G200">
        <v>40.5</v>
      </c>
      <c r="H200">
        <v>87.9</v>
      </c>
      <c r="I200">
        <v>99.7</v>
      </c>
      <c r="J200">
        <v>65.3</v>
      </c>
      <c r="K200" s="1">
        <v>10316</v>
      </c>
      <c r="L200">
        <v>24.4</v>
      </c>
      <c r="M200" s="2">
        <v>0.14000000000000001</v>
      </c>
    </row>
    <row r="201" spans="1:13" x14ac:dyDescent="0.2">
      <c r="A201">
        <v>200</v>
      </c>
      <c r="B201">
        <f>199</f>
        <v>199</v>
      </c>
      <c r="C201" t="s">
        <v>241</v>
      </c>
      <c r="D201" t="s">
        <v>185</v>
      </c>
      <c r="E201">
        <v>58.7</v>
      </c>
      <c r="F201">
        <v>43.9</v>
      </c>
      <c r="G201">
        <v>42.4</v>
      </c>
      <c r="H201">
        <v>84.1</v>
      </c>
      <c r="I201">
        <v>72.400000000000006</v>
      </c>
      <c r="J201">
        <v>70.3</v>
      </c>
      <c r="K201" s="1">
        <v>32795</v>
      </c>
      <c r="L201">
        <v>13.1</v>
      </c>
      <c r="M201" s="2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</dc:creator>
  <cp:lastModifiedBy>Stefan Wilneder</cp:lastModifiedBy>
  <dcterms:created xsi:type="dcterms:W3CDTF">2025-01-24T12:04:00Z</dcterms:created>
  <dcterms:modified xsi:type="dcterms:W3CDTF">2025-10-15T10:48:53Z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20601FA07AEA489B9A761F123C2A3F70_11</vt:lpwstr>
  </property>
  <property fmtid="{D5CDD505-2E9C-101B-9397-08002B2CF9AE}" pid="3" name="KSOProductBuildVer">
    <vt:lpwstr>1033-12.2.0.19805</vt:lpwstr>
  </property>
</Properties>
</file>